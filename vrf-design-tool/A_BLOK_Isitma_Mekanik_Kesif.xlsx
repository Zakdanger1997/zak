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pak" sheetId="1" state="visible" r:id="rId1"/>
    <sheet name="Metraj" sheetId="2" state="visible" r:id="rId2"/>
    <sheet name="Keşif Cetveli" sheetId="3" state="visible" r:id="rId3"/>
    <sheet name="Kaynak Ve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C00000"/>
      <sz val="11"/>
    </font>
    <font>
      <name val="Arial"/>
      <i val="1"/>
      <color rgb="007F6000"/>
      <sz val="9"/>
    </font>
    <font>
      <name val="Arial"/>
      <b val="1"/>
      <color rgb="00FFFFFF"/>
      <sz val="10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2" borderId="1" applyAlignment="1" pivotButton="0" quotePrefix="0" xfId="0">
      <alignment horizontal="right" vertical="center"/>
    </xf>
    <xf numFmtId="4" fontId="3" fillId="2" borderId="1" applyAlignment="1" pivotButton="0" quotePrefix="0" xfId="0">
      <alignment horizontal="right" vertical="center"/>
    </xf>
    <xf numFmtId="0" fontId="6" fillId="0" borderId="0" pivotButton="0" quotePrefix="0" xfId="0"/>
    <xf numFmtId="0" fontId="8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MEKANİK KEŞİF / METRAJ ÖZETİ</t>
        </is>
      </c>
    </row>
    <row r="2">
      <c r="A2" s="2" t="inlineStr">
        <is>
          <t>Otomatik CAD (DWG) tabanlı miktar çıkarımı</t>
        </is>
      </c>
    </row>
    <row r="4">
      <c r="A4" s="3" t="inlineStr">
        <is>
          <t>Proje</t>
        </is>
      </c>
      <c r="B4" s="4" t="inlineStr">
        <is>
          <t>ADANA A BLOK – ISITMA TESİSATI</t>
        </is>
      </c>
    </row>
    <row r="5">
      <c r="A5" s="3" t="inlineStr">
        <is>
          <t>Pafta / Proje No</t>
        </is>
      </c>
      <c r="B5" s="4" t="inlineStr">
        <is>
          <t>ADN-A-IT 50.001/001</t>
        </is>
      </c>
    </row>
    <row r="6">
      <c r="A6" s="3" t="inlineStr">
        <is>
          <t>Kaynak dosya</t>
        </is>
      </c>
      <c r="B6" s="4" t="inlineStr">
        <is>
          <t>3269f22b-ADNAIT_50.001001_A_BLOK_ISITMA_TESI_SATI.dwg</t>
        </is>
      </c>
    </row>
    <row r="7">
      <c r="A7" s="3" t="inlineStr">
        <is>
          <t>DWG sürümü</t>
        </is>
      </c>
      <c r="B7" s="4" t="inlineStr">
        <is>
          <t>AC1021 (AutoCAD 2007/2008/2009)</t>
        </is>
      </c>
    </row>
    <row r="8">
      <c r="A8" s="3" t="inlineStr">
        <is>
          <t>Ölçek / Birim</t>
        </is>
      </c>
      <c r="B8" s="4" t="inlineStr">
        <is>
          <t>1/50 – tüm ölçüler MİLİMETRE (çizim notu)</t>
        </is>
      </c>
    </row>
    <row r="9">
      <c r="A9" s="3" t="inlineStr">
        <is>
          <t>Kapsam</t>
        </is>
      </c>
      <c r="B9" s="4" t="inlineStr">
        <is>
          <t>Isıtma tesisatı: kat planları + kollektör detayı + kazan dairesi gaz hattı + lejant</t>
        </is>
      </c>
    </row>
    <row r="10">
      <c r="A10" s="3" t="inlineStr">
        <is>
          <t>Katlar</t>
        </is>
      </c>
      <c r="B10" s="4" t="inlineStr">
        <is>
          <t>Bodrum + Zemin + 1. Normal + 2. Normal kat</t>
        </is>
      </c>
    </row>
    <row r="11">
      <c r="A11" s="3" t="inlineStr">
        <is>
          <t>Çıkarım yöntemi</t>
        </is>
      </c>
      <c r="B11" s="4" t="inlineStr">
        <is>
          <t>LibreDWG ile DWG→DXF, ezdxf ile blok/metin/poliline analizi</t>
        </is>
      </c>
    </row>
    <row r="13">
      <c r="A13" s="5" t="inlineStr">
        <is>
          <t>ÖNEMLİ – NASIL OKUNMALI</t>
        </is>
      </c>
    </row>
    <row r="14">
      <c r="A14" s="6" t="inlineStr">
        <is>
          <t>• Bu dosya, DWG çiziminden OTOMATİK olarak çıkarılan bir ön metrajdır; imzalı bir keşif değildir.</t>
        </is>
      </c>
    </row>
    <row r="15">
      <c r="A15" s="6" t="inlineStr">
        <is>
          <t>• Miktarlar CAD katman/blok/metin verisinden okunmuştur. Her satırın 'Güven' ve 'Kaynak' sütununa bakınız.</t>
        </is>
      </c>
    </row>
    <row r="16">
      <c r="A16" s="6" t="inlineStr">
        <is>
          <t>• Boru uzunlukları model uzayındaki çizgi/polyline geometrisinden ölçülmüştür (mm→m). Çap (DN) ayrımı</t>
        </is>
      </c>
    </row>
    <row r="17">
      <c r="A17" s="6" t="inlineStr">
        <is>
          <t xml:space="preserve">  otomatik yapılamaz; çaplar ayrı metin etiketleridir (DN15–DN65). Çap bazlı dağılım el ile doğrulanmalıdır.</t>
        </is>
      </c>
    </row>
    <row r="18">
      <c r="A18" s="6" t="inlineStr">
        <is>
          <t>• Katmanlar bazı borularda örtüşebilir (örn. ana hat vs. branşman). Toplamı kullanmadan önce kontrol edin.</t>
        </is>
      </c>
    </row>
    <row r="19">
      <c r="A19" s="6" t="inlineStr">
        <is>
          <t>• Radyatör sayısı sembol bloğu sayımıdır (194); çizimdeki 'TOPLAM KOLLEKTÖR ADEDİ 140' notu devre sayısıdır.</t>
        </is>
      </c>
    </row>
    <row r="20">
      <c r="A20" s="6" t="inlineStr">
        <is>
          <t>• Birim fiyat sütunları (sarı) boştur; doldurunca 'Tutar' otomatik hesaplanır.</t>
        </is>
      </c>
    </row>
    <row r="21">
      <c r="A21" s="6" t="inlineStr">
        <is>
          <t>• Nihai keşif için mutlaka bir makine mühendisi tarafından çizim üzerinden teyit edilmelidir.</t>
        </is>
      </c>
    </row>
  </sheetData>
  <mergeCells count="11">
    <mergeCell ref="A20:B20"/>
    <mergeCell ref="A21:B21"/>
    <mergeCell ref="A2:B2"/>
    <mergeCell ref="A16:B16"/>
    <mergeCell ref="A15:B15"/>
    <mergeCell ref="A19:B19"/>
    <mergeCell ref="A13:B13"/>
    <mergeCell ref="A14:B14"/>
    <mergeCell ref="A1:B1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9" customWidth="1" min="3" max="3"/>
    <col width="13" customWidth="1" min="4" max="4"/>
    <col width="11" customWidth="1" min="5" max="5"/>
    <col width="52" customWidth="1" min="6" max="6"/>
  </cols>
  <sheetData>
    <row r="1">
      <c r="A1" s="7" t="inlineStr">
        <is>
          <t>Sıra</t>
        </is>
      </c>
      <c r="B1" s="7" t="inlineStr">
        <is>
          <t>Kategori / Kalem</t>
        </is>
      </c>
      <c r="C1" s="7" t="inlineStr">
        <is>
          <t>Birim</t>
        </is>
      </c>
      <c r="D1" s="7" t="inlineStr">
        <is>
          <t>Miktar</t>
        </is>
      </c>
      <c r="E1" s="7" t="inlineStr">
        <is>
          <t>Güven</t>
        </is>
      </c>
      <c r="F1" s="7" t="inlineStr">
        <is>
          <t>Kaynak / Açıklama</t>
        </is>
      </c>
    </row>
    <row r="2">
      <c r="A2" s="8" t="inlineStr">
        <is>
          <t>ISITMA BORULARI (CAD geometri ölçümü, mm→m)</t>
        </is>
      </c>
      <c r="B2" s="9" t="n"/>
      <c r="C2" s="9" t="n"/>
      <c r="D2" s="9" t="n"/>
      <c r="E2" s="9" t="n"/>
      <c r="F2" s="9" t="n"/>
    </row>
    <row r="3">
      <c r="A3" s="10" t="n">
        <v>1</v>
      </c>
      <c r="B3" s="4" t="inlineStr">
        <is>
          <t>Isıtma gidiş borusu – ana hat (ISITMA-M-HEATING SUPPLY)</t>
        </is>
      </c>
      <c r="C3" s="10" t="inlineStr">
        <is>
          <t>m</t>
        </is>
      </c>
      <c r="D3" s="11" t="n">
        <v>1254.1</v>
      </c>
      <c r="E3" s="10" t="inlineStr">
        <is>
          <t>Orta</t>
        </is>
      </c>
      <c r="F3" s="4" t="inlineStr">
        <is>
          <t>262/160 çizgi; katman uzunluğu</t>
        </is>
      </c>
    </row>
    <row r="4">
      <c r="A4" s="10" t="n">
        <v>2</v>
      </c>
      <c r="B4" s="4" t="inlineStr">
        <is>
          <t>Isıtma dönüş borusu – ana hat (ISITMA-M-HEATING RETURN)</t>
        </is>
      </c>
      <c r="C4" s="10" t="inlineStr">
        <is>
          <t>m</t>
        </is>
      </c>
      <c r="D4" s="11" t="n">
        <v>1483.7</v>
      </c>
      <c r="E4" s="10" t="inlineStr">
        <is>
          <t>Orta</t>
        </is>
      </c>
      <c r="F4" s="4" t="inlineStr">
        <is>
          <t>katman uzunluğu</t>
        </is>
      </c>
    </row>
    <row r="5">
      <c r="A5" s="10" t="n">
        <v>3</v>
      </c>
      <c r="B5" s="4" t="inlineStr">
        <is>
          <t>Isıtma gidiş borusu – branşman (M-HEAT-SUPP)</t>
        </is>
      </c>
      <c r="C5" s="10" t="inlineStr">
        <is>
          <t>m</t>
        </is>
      </c>
      <c r="D5" s="11" t="n">
        <v>883.2</v>
      </c>
      <c r="E5" s="10" t="inlineStr">
        <is>
          <t>Orta</t>
        </is>
      </c>
      <c r="F5" s="4" t="inlineStr">
        <is>
          <t>katman uzunluğu; ana hatla örtüşebilir</t>
        </is>
      </c>
    </row>
    <row r="6">
      <c r="A6" s="10" t="n">
        <v>4</v>
      </c>
      <c r="B6" s="4" t="inlineStr">
        <is>
          <t>Isıtma dönüş borusu – branşman (M-HEAT-RENT)</t>
        </is>
      </c>
      <c r="C6" s="10" t="inlineStr">
        <is>
          <t>m</t>
        </is>
      </c>
      <c r="D6" s="11" t="n">
        <v>468.3</v>
      </c>
      <c r="E6" s="10" t="inlineStr">
        <is>
          <t>Orta</t>
        </is>
      </c>
      <c r="F6" s="4" t="inlineStr">
        <is>
          <t>katman uzunluğu; ana hatla örtüşebilir</t>
        </is>
      </c>
    </row>
    <row r="7">
      <c r="A7" s="10" t="n">
        <v>5</v>
      </c>
      <c r="B7" s="4" t="inlineStr">
        <is>
          <t>Isıtma borusu – ISITMA-M-SUPPLY</t>
        </is>
      </c>
      <c r="C7" s="10" t="inlineStr">
        <is>
          <t>m</t>
        </is>
      </c>
      <c r="D7" s="11" t="n">
        <v>167.3</v>
      </c>
      <c r="E7" s="10" t="inlineStr">
        <is>
          <t>Orta</t>
        </is>
      </c>
      <c r="F7" s="4" t="inlineStr">
        <is>
          <t>katman uzunluğu</t>
        </is>
      </c>
    </row>
    <row r="8">
      <c r="A8" s="10" t="n">
        <v>6</v>
      </c>
      <c r="B8" s="4" t="inlineStr">
        <is>
          <t>Isıtma borusu – diğer (ISITMA / ISITMASONDON / 1-ISITMA)</t>
        </is>
      </c>
      <c r="C8" s="10" t="inlineStr">
        <is>
          <t>m</t>
        </is>
      </c>
      <c r="D8" s="11" t="n">
        <v>35.7</v>
      </c>
      <c r="E8" s="10" t="inlineStr">
        <is>
          <t>Düşük</t>
        </is>
      </c>
      <c r="F8" s="4" t="inlineStr">
        <is>
          <t>muhtelif ısıtma katmanları</t>
        </is>
      </c>
    </row>
    <row r="9">
      <c r="A9" s="12" t="inlineStr">
        <is>
          <t>SUM</t>
        </is>
      </c>
      <c r="B9" s="3" t="inlineStr">
        <is>
          <t>İSITMA BORUSU – HAM TOPLAM</t>
        </is>
      </c>
      <c r="C9" s="12" t="inlineStr">
        <is>
          <t>m</t>
        </is>
      </c>
      <c r="D9" s="13">
        <f>SUM(D3:D8)</f>
        <v/>
      </c>
      <c r="E9" s="12" t="inlineStr">
        <is>
          <t>—</t>
        </is>
      </c>
      <c r="F9" s="3" t="inlineStr">
        <is>
          <t>Katman örtüşmesi kontrol edilmeli</t>
        </is>
      </c>
    </row>
    <row r="10">
      <c r="A10" s="8" t="inlineStr">
        <is>
          <t>RADYATÖR VE KOLLEKTÖR</t>
        </is>
      </c>
      <c r="B10" s="9" t="n"/>
      <c r="C10" s="9" t="n"/>
      <c r="D10" s="9" t="n"/>
      <c r="E10" s="9" t="n"/>
      <c r="F10" s="9" t="n"/>
    </row>
    <row r="11">
      <c r="A11" s="10" t="n">
        <v>7</v>
      </c>
      <c r="B11" s="4" t="inlineStr">
        <is>
          <t>Panel radyatör (sembol bloğu sayımı)</t>
        </is>
      </c>
      <c r="C11" s="10" t="inlineStr">
        <is>
          <t>adet</t>
        </is>
      </c>
      <c r="D11" s="11" t="n">
        <v>194</v>
      </c>
      <c r="E11" s="10" t="inlineStr">
        <is>
          <t>Orta</t>
        </is>
      </c>
      <c r="F11" s="4" t="inlineStr">
        <is>
          <t>MTP-ISITMA RADYATÖR katmanı blok sayısı</t>
        </is>
      </c>
    </row>
    <row r="12">
      <c r="A12" s="10" t="n">
        <v>8</v>
      </c>
      <c r="B12" s="4" t="inlineStr">
        <is>
          <t>Kollektör (devre) – toplam</t>
        </is>
      </c>
      <c r="C12" s="10" t="inlineStr">
        <is>
          <t>adet</t>
        </is>
      </c>
      <c r="D12" s="11" t="n">
        <v>140</v>
      </c>
      <c r="E12" s="10" t="inlineStr">
        <is>
          <t>Yüksek</t>
        </is>
      </c>
      <c r="F12" s="4" t="inlineStr">
        <is>
          <t>Çizim notu: 'TOPLAM KOLLEKTÖR ADEDİ 140'TIR'</t>
        </is>
      </c>
    </row>
    <row r="13">
      <c r="A13" s="10" t="n">
        <v>9</v>
      </c>
      <c r="B13" s="4" t="inlineStr">
        <is>
          <t>Radyatör grubu ekipman etiketi (EKİPMAN blok)</t>
        </is>
      </c>
      <c r="C13" s="10" t="inlineStr">
        <is>
          <t>adet</t>
        </is>
      </c>
      <c r="D13" s="11" t="n">
        <v>19</v>
      </c>
      <c r="E13" s="10" t="inlineStr">
        <is>
          <t>Bilgi</t>
        </is>
      </c>
      <c r="F13" s="4" t="inlineStr">
        <is>
          <t>numaralandırma etiketi</t>
        </is>
      </c>
    </row>
    <row r="14">
      <c r="A14" s="8" t="inlineStr">
        <is>
          <t>VANA VE ARMATÜRLER</t>
        </is>
      </c>
      <c r="B14" s="9" t="n"/>
      <c r="C14" s="9" t="n"/>
      <c r="D14" s="9" t="n"/>
      <c r="E14" s="9" t="n"/>
      <c r="F14" s="9" t="n"/>
    </row>
    <row r="15">
      <c r="A15" s="10" t="n">
        <v>10</v>
      </c>
      <c r="B15" s="4" t="inlineStr">
        <is>
          <t>Küresel vana DN25 (VKR25-U)</t>
        </is>
      </c>
      <c r="C15" s="10" t="inlineStr">
        <is>
          <t>adet</t>
        </is>
      </c>
      <c r="D15" s="11" t="n">
        <v>20</v>
      </c>
      <c r="E15" s="10" t="inlineStr">
        <is>
          <t>Yüksek</t>
        </is>
      </c>
      <c r="F15" s="4" t="inlineStr">
        <is>
          <t>vana-kuresel02 / blok adı VKR25-U</t>
        </is>
      </c>
    </row>
    <row r="16">
      <c r="A16" s="10" t="n">
        <v>11</v>
      </c>
      <c r="B16" s="4" t="inlineStr">
        <is>
          <t>Çekvalf DN32 (CVR32-U)</t>
        </is>
      </c>
      <c r="C16" s="10" t="inlineStr">
        <is>
          <t>adet</t>
        </is>
      </c>
      <c r="D16" s="11" t="n">
        <v>10</v>
      </c>
      <c r="E16" s="10" t="inlineStr">
        <is>
          <t>Yüksek</t>
        </is>
      </c>
      <c r="F16" s="4" t="inlineStr">
        <is>
          <t>CEKVALF02 / blok adı CVR32U</t>
        </is>
      </c>
    </row>
    <row r="17">
      <c r="A17" s="10" t="n">
        <v>12</v>
      </c>
      <c r="B17" s="4" t="inlineStr">
        <is>
          <t>Vana – muhtelif (VANA katmanı blok)</t>
        </is>
      </c>
      <c r="C17" s="10" t="inlineStr">
        <is>
          <t>adet</t>
        </is>
      </c>
      <c r="D17" s="11" t="n">
        <v>42</v>
      </c>
      <c r="E17" s="10" t="inlineStr">
        <is>
          <t>Orta</t>
        </is>
      </c>
      <c r="F17" s="4" t="inlineStr">
        <is>
          <t>kesme/balans; tip metinle ayrışıyor</t>
        </is>
      </c>
    </row>
    <row r="18">
      <c r="A18" s="10" t="n">
        <v>13</v>
      </c>
      <c r="B18" s="4" t="inlineStr">
        <is>
          <t>Vana – muhtelif (M-VANA katmanı blok)</t>
        </is>
      </c>
      <c r="C18" s="10" t="inlineStr">
        <is>
          <t>adet</t>
        </is>
      </c>
      <c r="D18" s="11" t="n">
        <v>34</v>
      </c>
      <c r="E18" s="10" t="inlineStr">
        <is>
          <t>Orta</t>
        </is>
      </c>
      <c r="F18" s="4" t="inlineStr">
        <is>
          <t>kesme/balans vanaları</t>
        </is>
      </c>
    </row>
    <row r="19">
      <c r="A19" s="10" t="n">
        <v>14</v>
      </c>
      <c r="B19" s="4" t="inlineStr">
        <is>
          <t>Emniyet vanası DN25 (E.V.-DN25)</t>
        </is>
      </c>
      <c r="C19" s="10" t="inlineStr">
        <is>
          <t>adet</t>
        </is>
      </c>
      <c r="D19" s="11" t="n">
        <v>12</v>
      </c>
      <c r="E19" s="10" t="inlineStr">
        <is>
          <t>Orta</t>
        </is>
      </c>
      <c r="F19" s="4" t="inlineStr">
        <is>
          <t>P-ANNO-TEXT etiket sayımı</t>
        </is>
      </c>
    </row>
    <row r="20">
      <c r="A20" s="10" t="n">
        <v>15</v>
      </c>
      <c r="B20" s="4" t="inlineStr">
        <is>
          <t>Emniyet vanası DN65 (E.V. DN65)</t>
        </is>
      </c>
      <c r="C20" s="10" t="inlineStr">
        <is>
          <t>adet</t>
        </is>
      </c>
      <c r="D20" s="11" t="n">
        <v>1</v>
      </c>
      <c r="E20" s="10" t="inlineStr">
        <is>
          <t>Orta</t>
        </is>
      </c>
      <c r="F20" s="4" t="inlineStr">
        <is>
          <t>etiket</t>
        </is>
      </c>
    </row>
    <row r="21">
      <c r="A21" s="10" t="n">
        <v>16</v>
      </c>
      <c r="B21" s="4" t="inlineStr">
        <is>
          <t>Sabit / destek noktası (sabit nokta blok)</t>
        </is>
      </c>
      <c r="C21" s="10" t="inlineStr">
        <is>
          <t>adet</t>
        </is>
      </c>
      <c r="D21" s="11" t="n">
        <v>20</v>
      </c>
      <c r="E21" s="10" t="inlineStr">
        <is>
          <t>Yüksek</t>
        </is>
      </c>
      <c r="F21" s="4" t="inlineStr">
        <is>
          <t>blok adı 'sabit nokta'</t>
        </is>
      </c>
    </row>
    <row r="22">
      <c r="A22" s="10" t="n">
        <v>17</v>
      </c>
      <c r="B22" s="4" t="inlineStr">
        <is>
          <t>Flanş DN15 (flans015)</t>
        </is>
      </c>
      <c r="C22" s="10" t="inlineStr">
        <is>
          <t>adet</t>
        </is>
      </c>
      <c r="D22" s="11" t="n">
        <v>8</v>
      </c>
      <c r="E22" s="10" t="inlineStr">
        <is>
          <t>Orta</t>
        </is>
      </c>
      <c r="F22" s="4" t="inlineStr">
        <is>
          <t>blok adı flans015</t>
        </is>
      </c>
    </row>
    <row r="23">
      <c r="A23" s="8" t="inlineStr">
        <is>
          <t>KAZAN DAİRESİ / GAZ HATTI EKİPMANI (lejanttan – miktar teyide muhtaç)</t>
        </is>
      </c>
      <c r="B23" s="9" t="n"/>
      <c r="C23" s="9" t="n"/>
      <c r="D23" s="9" t="n"/>
      <c r="E23" s="9" t="n"/>
      <c r="F23" s="9" t="n"/>
    </row>
    <row r="24">
      <c r="A24" s="10" t="n">
        <v>18</v>
      </c>
      <c r="B24" s="4" t="inlineStr">
        <is>
          <t>Filtre (FY)</t>
        </is>
      </c>
      <c r="C24" s="10" t="inlineStr">
        <is>
          <t>adet</t>
        </is>
      </c>
      <c r="D24" s="11" t="n">
        <v>6</v>
      </c>
      <c r="E24" s="10" t="inlineStr">
        <is>
          <t>Düşük</t>
        </is>
      </c>
      <c r="F24" s="4" t="inlineStr">
        <is>
          <t>FY200 blok; lejant: FİLTRE</t>
        </is>
      </c>
    </row>
    <row r="25">
      <c r="A25" s="10" t="n">
        <v>19</v>
      </c>
      <c r="B25" s="4" t="inlineStr">
        <is>
          <t>Test nipeli / nipel (NI25, NI40)</t>
        </is>
      </c>
      <c r="C25" s="10" t="inlineStr">
        <is>
          <t>adet</t>
        </is>
      </c>
      <c r="D25" s="11" t="n">
        <v>3</v>
      </c>
      <c r="E25" s="10" t="inlineStr">
        <is>
          <t>Düşük</t>
        </is>
      </c>
      <c r="F25" s="4" t="inlineStr">
        <is>
          <t>NI25(2)+NI40(1)</t>
        </is>
      </c>
    </row>
    <row r="26">
      <c r="A26" s="10" t="n">
        <v>20</v>
      </c>
      <c r="B26" s="4" t="inlineStr">
        <is>
          <t>Kompansatör</t>
        </is>
      </c>
      <c r="C26" s="10" t="inlineStr">
        <is>
          <t>adet</t>
        </is>
      </c>
      <c r="D26" s="10" t="inlineStr"/>
      <c r="E26" s="10" t="inlineStr">
        <is>
          <t>Kontrol</t>
        </is>
      </c>
      <c r="F26" s="4" t="inlineStr">
        <is>
          <t>lejantta var; sembol teyit edilmeli</t>
        </is>
      </c>
    </row>
    <row r="27">
      <c r="A27" s="10" t="n">
        <v>21</v>
      </c>
      <c r="B27" s="4" t="inlineStr">
        <is>
          <t>Manometre</t>
        </is>
      </c>
      <c r="C27" s="10" t="inlineStr">
        <is>
          <t>adet</t>
        </is>
      </c>
      <c r="D27" s="10" t="inlineStr"/>
      <c r="E27" s="10" t="inlineStr">
        <is>
          <t>Kontrol</t>
        </is>
      </c>
      <c r="F27" s="4" t="inlineStr">
        <is>
          <t>lejantta var</t>
        </is>
      </c>
    </row>
    <row r="28">
      <c r="A28" s="10" t="n">
        <v>22</v>
      </c>
      <c r="B28" s="4" t="inlineStr">
        <is>
          <t>Termometre</t>
        </is>
      </c>
      <c r="C28" s="10" t="inlineStr">
        <is>
          <t>adet</t>
        </is>
      </c>
      <c r="D28" s="10" t="inlineStr"/>
      <c r="E28" s="10" t="inlineStr">
        <is>
          <t>Kontrol</t>
        </is>
      </c>
      <c r="F28" s="4" t="inlineStr">
        <is>
          <t>lejantta var</t>
        </is>
      </c>
    </row>
    <row r="29">
      <c r="A29" s="10" t="n">
        <v>23</v>
      </c>
      <c r="B29" s="4" t="inlineStr">
        <is>
          <t>Gaz basınç regülatörü</t>
        </is>
      </c>
      <c r="C29" s="10" t="inlineStr">
        <is>
          <t>adet</t>
        </is>
      </c>
      <c r="D29" s="10" t="inlineStr"/>
      <c r="E29" s="10" t="inlineStr">
        <is>
          <t>Kontrol</t>
        </is>
      </c>
      <c r="F29" s="4" t="inlineStr">
        <is>
          <t>lejantta var</t>
        </is>
      </c>
    </row>
    <row r="30">
      <c r="A30" s="10" t="n">
        <v>24</v>
      </c>
      <c r="B30" s="4" t="inlineStr">
        <is>
          <t>Solenoid vana</t>
        </is>
      </c>
      <c r="C30" s="10" t="inlineStr">
        <is>
          <t>adet</t>
        </is>
      </c>
      <c r="D30" s="10" t="inlineStr"/>
      <c r="E30" s="10" t="inlineStr">
        <is>
          <t>Kontrol</t>
        </is>
      </c>
      <c r="F30" s="4" t="inlineStr">
        <is>
          <t>lejantta var</t>
        </is>
      </c>
    </row>
    <row r="31">
      <c r="A31" s="10" t="n">
        <v>25</v>
      </c>
      <c r="B31" s="4" t="inlineStr">
        <is>
          <t>Presostat (azami/asgari gaz basınç)</t>
        </is>
      </c>
      <c r="C31" s="10" t="inlineStr">
        <is>
          <t>adet</t>
        </is>
      </c>
      <c r="D31" s="10" t="inlineStr"/>
      <c r="E31" s="10" t="inlineStr">
        <is>
          <t>Kontrol</t>
        </is>
      </c>
      <c r="F31" s="4" t="inlineStr">
        <is>
          <t>lejantta var</t>
        </is>
      </c>
    </row>
    <row r="32">
      <c r="A32" s="8" t="inlineStr">
        <is>
          <t>HAVALANDIRMA (kazan dairesi)</t>
        </is>
      </c>
      <c r="B32" s="9" t="n"/>
      <c r="C32" s="9" t="n"/>
      <c r="D32" s="9" t="n"/>
      <c r="E32" s="9" t="n"/>
      <c r="F32" s="9" t="n"/>
    </row>
    <row r="33">
      <c r="A33" s="10" t="n">
        <v>26</v>
      </c>
      <c r="B33" s="4" t="inlineStr">
        <is>
          <t>Alt havalandırma menfezi 1000x500</t>
        </is>
      </c>
      <c r="C33" s="10" t="inlineStr">
        <is>
          <t>adet</t>
        </is>
      </c>
      <c r="D33" s="10" t="inlineStr"/>
      <c r="E33" s="10" t="inlineStr">
        <is>
          <t>Kontrol</t>
        </is>
      </c>
      <c r="F33" s="4" t="inlineStr">
        <is>
          <t>G-ANNO-TEXT: '1000x500 ALT HAVALANDIRMA'</t>
        </is>
      </c>
    </row>
    <row r="34">
      <c r="A34" s="10" t="n">
        <v>27</v>
      </c>
      <c r="B34" s="4" t="inlineStr">
        <is>
          <t>Üst havalandırma menfezi 600x500</t>
        </is>
      </c>
      <c r="C34" s="10" t="inlineStr">
        <is>
          <t>adet</t>
        </is>
      </c>
      <c r="D34" s="10" t="inlineStr"/>
      <c r="E34" s="10" t="inlineStr">
        <is>
          <t>Kontrol</t>
        </is>
      </c>
      <c r="F34" s="4" t="inlineStr">
        <is>
          <t>G-ANNO-TEXT: '600X500 ÜST HAVALANDIRMA'</t>
        </is>
      </c>
    </row>
  </sheetData>
  <mergeCells count="5">
    <mergeCell ref="A2:F2"/>
    <mergeCell ref="A10:F10"/>
    <mergeCell ref="A14:F14"/>
    <mergeCell ref="A23:F23"/>
    <mergeCell ref="A32:F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2" customWidth="1" min="4" max="4"/>
    <col width="15" customWidth="1" min="5" max="5"/>
    <col width="16" customWidth="1" min="6" max="6"/>
  </cols>
  <sheetData>
    <row r="1">
      <c r="A1" s="7" t="inlineStr">
        <is>
          <t>Poz No</t>
        </is>
      </c>
      <c r="B1" s="7" t="inlineStr">
        <is>
          <t>İş Kalemi / Tanım</t>
        </is>
      </c>
      <c r="C1" s="7" t="inlineStr">
        <is>
          <t>Birim</t>
        </is>
      </c>
      <c r="D1" s="7" t="inlineStr">
        <is>
          <t>Miktar</t>
        </is>
      </c>
      <c r="E1" s="7" t="inlineStr">
        <is>
          <t>Birim Fiyat (₺)</t>
        </is>
      </c>
      <c r="F1" s="7" t="inlineStr">
        <is>
          <t>Tutar (₺)</t>
        </is>
      </c>
    </row>
    <row r="2">
      <c r="A2" s="10" t="inlineStr">
        <is>
          <t>01.001</t>
        </is>
      </c>
      <c r="B2" s="4" t="inlineStr">
        <is>
          <t>Panel radyatör temini ve montajı (kollektör bağlantılı)</t>
        </is>
      </c>
      <c r="C2" s="10" t="inlineStr">
        <is>
          <t>adet</t>
        </is>
      </c>
      <c r="D2" s="11" t="n">
        <v>194</v>
      </c>
      <c r="E2" s="14" t="n"/>
      <c r="F2" s="15">
        <f>IF(OR($D2="",E2=""),"",D2*E2)</f>
        <v/>
      </c>
    </row>
    <row r="3">
      <c r="A3" s="10" t="inlineStr">
        <is>
          <t>01.002</t>
        </is>
      </c>
      <c r="B3" s="4" t="inlineStr">
        <is>
          <t>Radyatör kollektörü / kollektör dolabı (devre)</t>
        </is>
      </c>
      <c r="C3" s="10" t="inlineStr">
        <is>
          <t>adet</t>
        </is>
      </c>
      <c r="D3" s="11" t="n">
        <v>140</v>
      </c>
      <c r="E3" s="14" t="n"/>
      <c r="F3" s="15">
        <f>IF(OR($D3="",E3=""),"",D3*E3)</f>
        <v/>
      </c>
    </row>
    <row r="4">
      <c r="A4" s="10" t="inlineStr">
        <is>
          <t>02.001</t>
        </is>
      </c>
      <c r="B4" s="4" t="inlineStr">
        <is>
          <t>Isıtma gidiş-dönüş borusu (ana hat, çelik/PPRC) – tüm çaplar</t>
        </is>
      </c>
      <c r="C4" s="10" t="inlineStr">
        <is>
          <t>m</t>
        </is>
      </c>
      <c r="D4" s="11" t="n">
        <v>2737.8</v>
      </c>
      <c r="E4" s="14" t="n"/>
      <c r="F4" s="15">
        <f>IF(OR($D4="",E4=""),"",D4*E4)</f>
        <v/>
      </c>
    </row>
    <row r="5">
      <c r="A5" s="10" t="inlineStr">
        <is>
          <t>02.002</t>
        </is>
      </c>
      <c r="B5" s="4" t="inlineStr">
        <is>
          <t>Isıtma branşman borusu (radyatör bağlantı) – tüm çaplar</t>
        </is>
      </c>
      <c r="C5" s="10" t="inlineStr">
        <is>
          <t>m</t>
        </is>
      </c>
      <c r="D5" s="11" t="n">
        <v>1351.5</v>
      </c>
      <c r="E5" s="14" t="n"/>
      <c r="F5" s="15">
        <f>IF(OR($D5="",E5=""),"",D5*E5)</f>
        <v/>
      </c>
    </row>
    <row r="6">
      <c r="A6" s="10" t="inlineStr">
        <is>
          <t>02.003</t>
        </is>
      </c>
      <c r="B6" s="4" t="inlineStr">
        <is>
          <t>Boru ısı yalıtımı (izolasyon)</t>
        </is>
      </c>
      <c r="C6" s="10" t="inlineStr">
        <is>
          <t>m</t>
        </is>
      </c>
      <c r="D6" s="10" t="inlineStr"/>
      <c r="E6" s="14" t="n"/>
      <c r="F6" s="15">
        <f>IF(OR($D6="",E6=""),"",D6*E6)</f>
        <v/>
      </c>
    </row>
    <row r="7">
      <c r="A7" s="10" t="inlineStr">
        <is>
          <t>03.001</t>
        </is>
      </c>
      <c r="B7" s="4" t="inlineStr">
        <is>
          <t>Küresel vana DN25</t>
        </is>
      </c>
      <c r="C7" s="10" t="inlineStr">
        <is>
          <t>adet</t>
        </is>
      </c>
      <c r="D7" s="11" t="n">
        <v>20</v>
      </c>
      <c r="E7" s="14" t="n"/>
      <c r="F7" s="15">
        <f>IF(OR($D7="",E7=""),"",D7*E7)</f>
        <v/>
      </c>
    </row>
    <row r="8">
      <c r="A8" s="10" t="inlineStr">
        <is>
          <t>03.002</t>
        </is>
      </c>
      <c r="B8" s="4" t="inlineStr">
        <is>
          <t>Çekvalf DN32</t>
        </is>
      </c>
      <c r="C8" s="10" t="inlineStr">
        <is>
          <t>adet</t>
        </is>
      </c>
      <c r="D8" s="11" t="n">
        <v>10</v>
      </c>
      <c r="E8" s="14" t="n"/>
      <c r="F8" s="15">
        <f>IF(OR($D8="",E8=""),"",D8*E8)</f>
        <v/>
      </c>
    </row>
    <row r="9">
      <c r="A9" s="10" t="inlineStr">
        <is>
          <t>03.003</t>
        </is>
      </c>
      <c r="B9" s="4" t="inlineStr">
        <is>
          <t>Kesme / balans vanası (muhtelif)</t>
        </is>
      </c>
      <c r="C9" s="10" t="inlineStr">
        <is>
          <t>adet</t>
        </is>
      </c>
      <c r="D9" s="11" t="n">
        <v>76</v>
      </c>
      <c r="E9" s="14" t="n"/>
      <c r="F9" s="15">
        <f>IF(OR($D9="",E9=""),"",D9*E9)</f>
        <v/>
      </c>
    </row>
    <row r="10">
      <c r="A10" s="10" t="inlineStr">
        <is>
          <t>03.004</t>
        </is>
      </c>
      <c r="B10" s="4" t="inlineStr">
        <is>
          <t>Emniyet vanası DN25</t>
        </is>
      </c>
      <c r="C10" s="10" t="inlineStr">
        <is>
          <t>adet</t>
        </is>
      </c>
      <c r="D10" s="11" t="n">
        <v>12</v>
      </c>
      <c r="E10" s="14" t="n"/>
      <c r="F10" s="15">
        <f>IF(OR($D10="",E10=""),"",D10*E10)</f>
        <v/>
      </c>
    </row>
    <row r="11">
      <c r="A11" s="10" t="inlineStr">
        <is>
          <t>03.005</t>
        </is>
      </c>
      <c r="B11" s="4" t="inlineStr">
        <is>
          <t>Emniyet vanası DN65</t>
        </is>
      </c>
      <c r="C11" s="10" t="inlineStr">
        <is>
          <t>adet</t>
        </is>
      </c>
      <c r="D11" s="11" t="n">
        <v>1</v>
      </c>
      <c r="E11" s="14" t="n"/>
      <c r="F11" s="15">
        <f>IF(OR($D11="",E11=""),"",D11*E11)</f>
        <v/>
      </c>
    </row>
    <row r="12">
      <c r="A12" s="10" t="inlineStr">
        <is>
          <t>03.006</t>
        </is>
      </c>
      <c r="B12" s="4" t="inlineStr">
        <is>
          <t>Sabit / destek noktası</t>
        </is>
      </c>
      <c r="C12" s="10" t="inlineStr">
        <is>
          <t>adet</t>
        </is>
      </c>
      <c r="D12" s="11" t="n">
        <v>20</v>
      </c>
      <c r="E12" s="14" t="n"/>
      <c r="F12" s="15">
        <f>IF(OR($D12="",E12=""),"",D12*E12)</f>
        <v/>
      </c>
    </row>
    <row r="13">
      <c r="A13" s="10" t="inlineStr">
        <is>
          <t>04.001</t>
        </is>
      </c>
      <c r="B13" s="4" t="inlineStr">
        <is>
          <t>Kazan dairesi filtre (FY)</t>
        </is>
      </c>
      <c r="C13" s="10" t="inlineStr">
        <is>
          <t>adet</t>
        </is>
      </c>
      <c r="D13" s="11" t="n">
        <v>6</v>
      </c>
      <c r="E13" s="14" t="n"/>
      <c r="F13" s="15">
        <f>IF(OR($D13="",E13=""),"",D13*E13)</f>
        <v/>
      </c>
    </row>
    <row r="14">
      <c r="A14" s="10" t="inlineStr">
        <is>
          <t>04.002</t>
        </is>
      </c>
      <c r="B14" s="4" t="inlineStr">
        <is>
          <t>Kompansatör</t>
        </is>
      </c>
      <c r="C14" s="10" t="inlineStr">
        <is>
          <t>adet</t>
        </is>
      </c>
      <c r="D14" s="10" t="inlineStr"/>
      <c r="E14" s="14" t="n"/>
      <c r="F14" s="15">
        <f>IF(OR($D14="",E14=""),"",D14*E14)</f>
        <v/>
      </c>
    </row>
    <row r="15">
      <c r="A15" s="10" t="inlineStr">
        <is>
          <t>04.003</t>
        </is>
      </c>
      <c r="B15" s="4" t="inlineStr">
        <is>
          <t>Manometre</t>
        </is>
      </c>
      <c r="C15" s="10" t="inlineStr">
        <is>
          <t>adet</t>
        </is>
      </c>
      <c r="D15" s="10" t="inlineStr"/>
      <c r="E15" s="14" t="n"/>
      <c r="F15" s="15">
        <f>IF(OR($D15="",E15=""),"",D15*E15)</f>
        <v/>
      </c>
    </row>
    <row r="16">
      <c r="A16" s="10" t="inlineStr">
        <is>
          <t>04.004</t>
        </is>
      </c>
      <c r="B16" s="4" t="inlineStr">
        <is>
          <t>Termometre</t>
        </is>
      </c>
      <c r="C16" s="10" t="inlineStr">
        <is>
          <t>adet</t>
        </is>
      </c>
      <c r="D16" s="10" t="inlineStr"/>
      <c r="E16" s="14" t="n"/>
      <c r="F16" s="15">
        <f>IF(OR($D16="",E16=""),"",D16*E16)</f>
        <v/>
      </c>
    </row>
    <row r="17">
      <c r="A17" s="10" t="inlineStr">
        <is>
          <t>04.005</t>
        </is>
      </c>
      <c r="B17" s="4" t="inlineStr">
        <is>
          <t>Gaz basınç regülatörü</t>
        </is>
      </c>
      <c r="C17" s="10" t="inlineStr">
        <is>
          <t>adet</t>
        </is>
      </c>
      <c r="D17" s="10" t="inlineStr"/>
      <c r="E17" s="14" t="n"/>
      <c r="F17" s="15">
        <f>IF(OR($D17="",E17=""),"",D17*E17)</f>
        <v/>
      </c>
    </row>
    <row r="18">
      <c r="A18" s="10" t="inlineStr">
        <is>
          <t>04.006</t>
        </is>
      </c>
      <c r="B18" s="4" t="inlineStr">
        <is>
          <t>Solenoid vana</t>
        </is>
      </c>
      <c r="C18" s="10" t="inlineStr">
        <is>
          <t>adet</t>
        </is>
      </c>
      <c r="D18" s="10" t="inlineStr"/>
      <c r="E18" s="14" t="n"/>
      <c r="F18" s="15">
        <f>IF(OR($D18="",E18=""),"",D18*E18)</f>
        <v/>
      </c>
    </row>
    <row r="19">
      <c r="A19" s="10" t="inlineStr">
        <is>
          <t>04.007</t>
        </is>
      </c>
      <c r="B19" s="4" t="inlineStr">
        <is>
          <t>Presostat (azami/asgari)</t>
        </is>
      </c>
      <c r="C19" s="10" t="inlineStr">
        <is>
          <t>adet</t>
        </is>
      </c>
      <c r="D19" s="10" t="inlineStr"/>
      <c r="E19" s="14" t="n"/>
      <c r="F19" s="15">
        <f>IF(OR($D19="",E19=""),"",D19*E19)</f>
        <v/>
      </c>
    </row>
    <row r="20">
      <c r="A20" s="10" t="inlineStr">
        <is>
          <t>05.001</t>
        </is>
      </c>
      <c r="B20" s="4" t="inlineStr">
        <is>
          <t>Alt havalandırma menfezi 1000x500</t>
        </is>
      </c>
      <c r="C20" s="10" t="inlineStr">
        <is>
          <t>adet</t>
        </is>
      </c>
      <c r="D20" s="10" t="inlineStr"/>
      <c r="E20" s="14" t="n"/>
      <c r="F20" s="15">
        <f>IF(OR($D20="",E20=""),"",D20*E20)</f>
        <v/>
      </c>
    </row>
    <row r="21">
      <c r="A21" s="10" t="inlineStr">
        <is>
          <t>05.002</t>
        </is>
      </c>
      <c r="B21" s="4" t="inlineStr">
        <is>
          <t>Üst havalandırma menfezi 600x500</t>
        </is>
      </c>
      <c r="C21" s="10" t="inlineStr">
        <is>
          <t>adet</t>
        </is>
      </c>
      <c r="D21" s="10" t="inlineStr"/>
      <c r="E21" s="14" t="n"/>
      <c r="F21" s="15">
        <f>IF(OR($D21="",E21=""),"",D21*E21)</f>
        <v/>
      </c>
    </row>
    <row r="22">
      <c r="A22" s="16" t="n"/>
      <c r="B22" s="17" t="inlineStr">
        <is>
          <t>TOPLAM (KDV hariç)</t>
        </is>
      </c>
      <c r="C22" s="16" t="n"/>
      <c r="D22" s="16" t="n"/>
      <c r="E22" s="16" t="n"/>
      <c r="F22" s="18">
        <f>SUM(F2:F21)</f>
        <v/>
      </c>
    </row>
    <row r="24">
      <c r="A24" s="19" t="inlineStr">
        <is>
          <t>Sarı hücreler = birim fiyat giriniz (₺). 'Tutar' otomatik hesaplanır. Miktarı boş kalemler çizimden teyit edilmelidir.</t>
        </is>
      </c>
    </row>
  </sheetData>
  <mergeCells count="1">
    <mergeCell ref="A24:F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40" customWidth="1" min="4" max="4"/>
  </cols>
  <sheetData>
    <row r="1">
      <c r="A1" s="7" t="inlineStr">
        <is>
          <t>CAD Katmanı / Blok / Not</t>
        </is>
      </c>
      <c r="B1" s="7" t="inlineStr">
        <is>
          <t>Değer</t>
        </is>
      </c>
      <c r="C1" s="7" t="inlineStr">
        <is>
          <t>Birim</t>
        </is>
      </c>
      <c r="D1" s="7" t="inlineStr">
        <is>
          <t>Açıklama</t>
        </is>
      </c>
    </row>
    <row r="2">
      <c r="A2" s="20" t="inlineStr">
        <is>
          <t>— BORU KATMAN UZUNLUKLARI (mm) —</t>
        </is>
      </c>
      <c r="B2" s="9" t="n"/>
      <c r="C2" s="9" t="n"/>
      <c r="D2" s="9" t="n"/>
    </row>
    <row r="3">
      <c r="A3" s="4" t="inlineStr">
        <is>
          <t>ISITMA-M-HEATING RETURN</t>
        </is>
      </c>
      <c r="B3" s="11" t="n">
        <v>1483734.2</v>
      </c>
      <c r="C3" s="10" t="inlineStr">
        <is>
          <t>mm</t>
        </is>
      </c>
      <c r="D3" s="4" t="inlineStr">
        <is>
          <t>262 entity</t>
        </is>
      </c>
    </row>
    <row r="4">
      <c r="A4" s="4" t="inlineStr">
        <is>
          <t>ISITMA-M-HEATING SUPPLY</t>
        </is>
      </c>
      <c r="B4" s="11" t="n">
        <v>1254137.6</v>
      </c>
      <c r="C4" s="10" t="inlineStr">
        <is>
          <t>mm</t>
        </is>
      </c>
      <c r="D4" s="4" t="inlineStr">
        <is>
          <t>160 entity</t>
        </is>
      </c>
    </row>
    <row r="5">
      <c r="A5" s="4" t="inlineStr">
        <is>
          <t>M-HEAT-SUPP</t>
        </is>
      </c>
      <c r="B5" s="11" t="n">
        <v>883240</v>
      </c>
      <c r="C5" s="10" t="inlineStr">
        <is>
          <t>mm</t>
        </is>
      </c>
      <c r="D5" s="4" t="inlineStr">
        <is>
          <t>735 entity</t>
        </is>
      </c>
    </row>
    <row r="6">
      <c r="A6" s="4" t="inlineStr">
        <is>
          <t>M-HEAT-RENT</t>
        </is>
      </c>
      <c r="B6" s="11" t="n">
        <v>468320</v>
      </c>
      <c r="C6" s="10" t="inlineStr">
        <is>
          <t>mm</t>
        </is>
      </c>
      <c r="D6" s="4" t="inlineStr">
        <is>
          <t>270 entity</t>
        </is>
      </c>
    </row>
    <row r="7">
      <c r="A7" s="4" t="inlineStr">
        <is>
          <t>ISITMA-M-SUPPLY</t>
        </is>
      </c>
      <c r="B7" s="11" t="n">
        <v>167346.4</v>
      </c>
      <c r="C7" s="10" t="inlineStr">
        <is>
          <t>mm</t>
        </is>
      </c>
      <c r="D7" s="4" t="inlineStr">
        <is>
          <t>41 entity</t>
        </is>
      </c>
    </row>
    <row r="8">
      <c r="A8" s="4" t="inlineStr">
        <is>
          <t>ISITMA</t>
        </is>
      </c>
      <c r="B8" s="11" t="n">
        <v>18031.7</v>
      </c>
      <c r="C8" s="10" t="inlineStr">
        <is>
          <t>mm</t>
        </is>
      </c>
      <c r="D8" s="4" t="inlineStr">
        <is>
          <t>30 entity</t>
        </is>
      </c>
    </row>
    <row r="9">
      <c r="A9" s="4" t="inlineStr">
        <is>
          <t>ISITMASONDON</t>
        </is>
      </c>
      <c r="B9" s="11" t="n">
        <v>14356.5</v>
      </c>
      <c r="C9" s="10" t="inlineStr">
        <is>
          <t>mm</t>
        </is>
      </c>
      <c r="D9" s="4" t="inlineStr">
        <is>
          <t>25 entity</t>
        </is>
      </c>
    </row>
    <row r="10">
      <c r="A10" s="4" t="inlineStr">
        <is>
          <t>1-ISITMA</t>
        </is>
      </c>
      <c r="B10" s="11" t="n">
        <v>3274.2</v>
      </c>
      <c r="C10" s="10" t="inlineStr">
        <is>
          <t>mm</t>
        </is>
      </c>
      <c r="D10" s="4" t="inlineStr">
        <is>
          <t>5 entity</t>
        </is>
      </c>
    </row>
    <row r="11">
      <c r="A11" s="20" t="inlineStr">
        <is>
          <t>— BLOK SAYIMLARI —</t>
        </is>
      </c>
      <c r="B11" s="9" t="n"/>
      <c r="C11" s="9" t="n"/>
      <c r="D11" s="9" t="n"/>
    </row>
    <row r="12">
      <c r="A12" s="4" t="inlineStr">
        <is>
          <t>MTP-ISITMA RADYATÖR (katman)</t>
        </is>
      </c>
      <c r="B12" s="11" t="n">
        <v>194</v>
      </c>
      <c r="C12" s="10" t="inlineStr">
        <is>
          <t>adet</t>
        </is>
      </c>
      <c r="D12" s="4" t="inlineStr">
        <is>
          <t>radyatör sembolleri</t>
        </is>
      </c>
    </row>
    <row r="13">
      <c r="A13" s="4" t="inlineStr">
        <is>
          <t>VANA (katman)</t>
        </is>
      </c>
      <c r="B13" s="11" t="n">
        <v>42</v>
      </c>
      <c r="C13" s="10" t="inlineStr">
        <is>
          <t>adet</t>
        </is>
      </c>
      <c r="D13" s="4" t="inlineStr"/>
    </row>
    <row r="14">
      <c r="A14" s="4" t="inlineStr">
        <is>
          <t>M-VANA (katman)</t>
        </is>
      </c>
      <c r="B14" s="11" t="n">
        <v>34</v>
      </c>
      <c r="C14" s="10" t="inlineStr">
        <is>
          <t>adet</t>
        </is>
      </c>
      <c r="D14" s="4" t="inlineStr"/>
    </row>
    <row r="15">
      <c r="A15" s="4" t="inlineStr">
        <is>
          <t>vana-kuresel02 / VKR25-U</t>
        </is>
      </c>
      <c r="B15" s="11" t="n">
        <v>20</v>
      </c>
      <c r="C15" s="10" t="inlineStr">
        <is>
          <t>adet</t>
        </is>
      </c>
      <c r="D15" s="4" t="inlineStr">
        <is>
          <t>küresel vana DN25</t>
        </is>
      </c>
    </row>
    <row r="16">
      <c r="A16" s="4" t="inlineStr">
        <is>
          <t>CEKVALF02 / CVR32U</t>
        </is>
      </c>
      <c r="B16" s="11" t="n">
        <v>10</v>
      </c>
      <c r="C16" s="10" t="inlineStr">
        <is>
          <t>adet</t>
        </is>
      </c>
      <c r="D16" s="4" t="inlineStr">
        <is>
          <t>çekvalf DN32</t>
        </is>
      </c>
    </row>
    <row r="17">
      <c r="A17" s="4" t="inlineStr">
        <is>
          <t>sabit nokta (blok)</t>
        </is>
      </c>
      <c r="B17" s="11" t="n">
        <v>20</v>
      </c>
      <c r="C17" s="10" t="inlineStr">
        <is>
          <t>adet</t>
        </is>
      </c>
      <c r="D17" s="4" t="inlineStr">
        <is>
          <t>sabit/destek noktası</t>
        </is>
      </c>
    </row>
    <row r="18">
      <c r="A18" s="4" t="inlineStr">
        <is>
          <t>DN 90 (blok)</t>
        </is>
      </c>
      <c r="B18" s="11" t="n">
        <v>33</v>
      </c>
      <c r="C18" s="10" t="inlineStr">
        <is>
          <t>adet</t>
        </is>
      </c>
      <c r="D18" s="4" t="inlineStr">
        <is>
          <t>DN90 sembol (teyit)</t>
        </is>
      </c>
    </row>
    <row r="19">
      <c r="A19" s="4" t="inlineStr">
        <is>
          <t>flans015</t>
        </is>
      </c>
      <c r="B19" s="11" t="n">
        <v>8</v>
      </c>
      <c r="C19" s="10" t="inlineStr">
        <is>
          <t>adet</t>
        </is>
      </c>
      <c r="D19" s="4" t="inlineStr">
        <is>
          <t>flanş DN15</t>
        </is>
      </c>
    </row>
    <row r="20">
      <c r="A20" s="4" t="inlineStr">
        <is>
          <t>FY200</t>
        </is>
      </c>
      <c r="B20" s="11" t="n">
        <v>6</v>
      </c>
      <c r="C20" s="10" t="inlineStr">
        <is>
          <t>adet</t>
        </is>
      </c>
      <c r="D20" s="4" t="inlineStr">
        <is>
          <t>filtre</t>
        </is>
      </c>
    </row>
    <row r="21">
      <c r="A21" s="4" t="inlineStr">
        <is>
          <t>EKİPMAN (katman blok)</t>
        </is>
      </c>
      <c r="B21" s="11" t="n">
        <v>19</v>
      </c>
      <c r="C21" s="10" t="inlineStr">
        <is>
          <t>adet</t>
        </is>
      </c>
      <c r="D21" s="4" t="inlineStr">
        <is>
          <t>ekipman etiketi</t>
        </is>
      </c>
    </row>
    <row r="22">
      <c r="A22" s="20" t="inlineStr">
        <is>
          <t>— ÇİZİM NOTLARI —</t>
        </is>
      </c>
      <c r="B22" s="9" t="n"/>
      <c r="C22" s="9" t="n"/>
      <c r="D22" s="9" t="n"/>
    </row>
    <row r="23">
      <c r="A23" s="4" t="inlineStr">
        <is>
          <t>TOPLAM KOLLEKTÖR ADEDİ</t>
        </is>
      </c>
      <c r="B23" s="11" t="n">
        <v>140</v>
      </c>
      <c r="C23" s="10" t="inlineStr">
        <is>
          <t>adet</t>
        </is>
      </c>
      <c r="D23" s="4" t="inlineStr">
        <is>
          <t>çizim üzerindeki metin notu</t>
        </is>
      </c>
    </row>
    <row r="24">
      <c r="A24" s="4" t="inlineStr">
        <is>
          <t>Ölçek</t>
        </is>
      </c>
      <c r="B24" s="10" t="inlineStr">
        <is>
          <t>1/50</t>
        </is>
      </c>
      <c r="C24" s="10" t="inlineStr"/>
      <c r="D24" s="4" t="inlineStr">
        <is>
          <t>tüm ölçüler mm</t>
        </is>
      </c>
    </row>
    <row r="25">
      <c r="A25" s="4" t="inlineStr">
        <is>
          <t>DN etiketleri (metin)</t>
        </is>
      </c>
      <c r="B25" s="10" t="inlineStr">
        <is>
          <t>DN15/20/25/40/50/65</t>
        </is>
      </c>
      <c r="C25" s="10" t="inlineStr"/>
      <c r="D25" s="4" t="inlineStr">
        <is>
          <t>boru çapı etiketleri mevcut</t>
        </is>
      </c>
    </row>
  </sheetData>
  <mergeCells count="3">
    <mergeCell ref="A22:D22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2026-08-02T17:47:00Z</dcterms:created>
  <dcterms:modified xsi:type="dcterms:W3CDTF">2026-08-02T17:47:00Z</dcterms:modified>
</cp:coreProperties>
</file>