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RFQ Items" sheetId="2" state="visible" r:id="rId2"/>
    <sheet name="Commercial Terms" sheetId="3" state="visible" r:id="rId3"/>
    <sheet name="Supplier Tracker" sheetId="4" state="visible" r:id="rId4"/>
    <sheet name="Email Draft" sheetId="5" state="visible" r:id="rId5"/>
  </sheets>
  <definedNames/>
</workbook>
</file>

<file path=xl/styles.xml><?xml version="1.0" encoding="utf-8"?>
<styleSheet xmlns="http://schemas.openxmlformats.org/spreadsheetml/2006/main">
  <numFmts count="2">
    <numFmt numFmtId="164" formatCode="yyyy-mm-dd"/>
    <numFmt numFmtId="165" formatCode="€#,##0.00"/>
  </numFmts>
  <fonts count="19">
    <font>
      <name val="Carlito"/>
      <sz val="11"/>
    </font>
    <font>
      <name val="Carlito"/>
      <b val="1"/>
      <color rgb="FFFFFFFF"/>
      <sz val="18"/>
    </font>
    <font>
      <name val="Carlito"/>
      <b val="1"/>
      <color rgb="FF09263A"/>
      <sz val="11"/>
    </font>
    <font>
      <name val="Carlito"/>
      <b val="1"/>
      <color rgb="FF09263A"/>
      <sz val="12"/>
    </font>
    <font>
      <name val="Carlito"/>
      <b val="1"/>
      <color rgb="FFFFFFFF"/>
      <sz val="11"/>
    </font>
    <font>
      <name val="Carlito"/>
      <b val="1"/>
      <color rgb="FF166534"/>
      <sz val="11"/>
    </font>
    <font>
      <name val="Carlito"/>
      <color rgb="FF09263A"/>
      <sz val="11"/>
    </font>
    <font>
      <name val="Aptos"/>
      <b val="1"/>
      <color rgb="FFFFFFFF"/>
      <sz val="18"/>
    </font>
    <font>
      <name val="Aptos"/>
      <b val="1"/>
      <color rgb="FF09263A"/>
      <sz val="11"/>
    </font>
    <font>
      <name val="Aptos"/>
      <sz val="11"/>
    </font>
    <font>
      <name val="Aptos"/>
      <b val="1"/>
      <color rgb="FF09263A"/>
      <sz val="12"/>
    </font>
    <font>
      <name val="Aptos"/>
      <b val="1"/>
      <color rgb="FFFFFFFF"/>
      <sz val="11"/>
    </font>
    <font>
      <name val="Aptos"/>
      <b val="1"/>
      <color rgb="FF166534"/>
      <sz val="11"/>
    </font>
    <font>
      <name val="Aptos"/>
      <color rgb="FF09263A"/>
      <sz val="11"/>
    </font>
    <font>
      <name val="Carlito"/>
      <i val="1"/>
      <color rgb="FF09263A"/>
      <sz val="11"/>
    </font>
    <font>
      <name val="Aptos"/>
      <i val="1"/>
      <color rgb="FF09263A"/>
      <sz val="11"/>
    </font>
    <font>
      <name val="Carlito"/>
      <b val="1"/>
      <sz val="11"/>
    </font>
    <font>
      <name val="Carlito"/>
      <b val="1"/>
    </font>
    <font>
      <name val="Aptos"/>
      <b val="1"/>
      <color rgb="007A4E00"/>
      <sz val="10"/>
    </font>
  </fonts>
  <fills count="10">
    <fill>
      <patternFill/>
    </fill>
    <fill>
      <patternFill patternType="gray125"/>
    </fill>
    <fill>
      <patternFill patternType="solid">
        <fgColor rgb="FF09263A"/>
      </patternFill>
    </fill>
    <fill>
      <patternFill patternType="solid">
        <fgColor rgb="FFEAF1F5"/>
      </patternFill>
    </fill>
    <fill>
      <patternFill patternType="solid">
        <fgColor rgb="FFF59E0B"/>
      </patternFill>
    </fill>
    <fill>
      <patternFill patternType="solid">
        <fgColor rgb="FFDCFCE7"/>
      </patternFill>
    </fill>
    <fill>
      <patternFill patternType="solid">
        <fgColor rgb="FFF7F9FB"/>
      </patternFill>
    </fill>
    <fill>
      <patternFill patternType="solid">
        <fgColor rgb="FFFFF7D6"/>
      </patternFill>
    </fill>
    <fill>
      <patternFill patternType="solid">
        <fgColor rgb="00FFE08A"/>
      </patternFill>
    </fill>
    <fill>
      <patternFill patternType="solid">
        <fgColor rgb="00FFF9C4"/>
      </patternFill>
    </fill>
  </fills>
  <borders count="25">
    <border/>
    <border>
      <right style="thin">
        <color rgb="FFCBD5E1"/>
      </right>
    </border>
    <border>
      <left style="thin">
        <color rgb="FFCBD5E1"/>
      </left>
    </border>
    <border>
      <left style="thin">
        <color rgb="FFCBD5E1"/>
      </left>
      <top style="thin">
        <color rgb="FFCBD5E1"/>
      </top>
    </border>
    <border>
      <top style="thin">
        <color rgb="FFCBD5E1"/>
      </top>
    </border>
    <border>
      <right style="thin">
        <color rgb="FFCBD5E1"/>
      </right>
      <top style="thin">
        <color rgb="FFCBD5E1"/>
      </top>
    </border>
    <border>
      <left style="thin">
        <color rgb="FFCBD5E1"/>
      </left>
      <bottom style="thin">
        <color rgb="FFCBD5E1"/>
      </bottom>
    </border>
    <border>
      <bottom style="thin">
        <color rgb="FFCBD5E1"/>
      </bottom>
    </border>
    <border>
      <right style="thin">
        <color rgb="FFCBD5E1"/>
      </right>
      <bottom style="thin">
        <color rgb="FFCBD5E1"/>
      </bottom>
    </border>
    <border>
      <right style="thin">
        <color rgb="FFE2E8F0"/>
      </right>
      <bottom style="thin">
        <color rgb="FFE2E8F0"/>
      </bottom>
    </border>
    <border>
      <left style="thin">
        <color rgb="FFE2E8F0"/>
      </left>
      <right style="thin">
        <color rgb="FFE2E8F0"/>
      </right>
      <bottom style="thin">
        <color rgb="FFE2E8F0"/>
      </bottom>
    </border>
    <border>
      <left style="thin">
        <color rgb="FFE2E8F0"/>
      </left>
      <bottom style="thin">
        <color rgb="FFE2E8F0"/>
      </bottom>
    </border>
    <border>
      <right style="thin">
        <color rgb="FFE2E8F0"/>
      </right>
      <top style="thin">
        <color rgb="FFE2E8F0"/>
      </top>
      <bottom style="thin">
        <color rgb="FFE2E8F0"/>
      </bottom>
    </border>
    <border>
      <left style="thin">
        <color rgb="FFE2E8F0"/>
      </left>
      <right style="thin">
        <color rgb="FFE2E8F0"/>
      </right>
      <top style="thin">
        <color rgb="FFE2E8F0"/>
      </top>
      <bottom style="thin">
        <color rgb="FFE2E8F0"/>
      </bottom>
    </border>
    <border>
      <left style="thin">
        <color rgb="FFE2E8F0"/>
      </left>
      <top style="thin">
        <color rgb="FFE2E8F0"/>
      </top>
      <bottom style="thin">
        <color rgb="FFE2E8F0"/>
      </bottom>
    </border>
    <border>
      <right style="thin">
        <color rgb="FFE2E8F0"/>
      </right>
      <top style="thin">
        <color rgb="FFE2E8F0"/>
      </top>
    </border>
    <border>
      <left style="thin">
        <color rgb="FFE2E8F0"/>
      </left>
      <right style="thin">
        <color rgb="FFE2E8F0"/>
      </right>
      <top style="thin">
        <color rgb="FFE2E8F0"/>
      </top>
    </border>
    <border>
      <left style="thin">
        <color rgb="FFE2E8F0"/>
      </left>
      <top style="thin">
        <color rgb="FFE2E8F0"/>
      </top>
    </border>
    <border>
      <left style="thin">
        <color rgb="FFCBD5E1"/>
      </left>
      <right style="thin">
        <color rgb="FFCBD5E1"/>
      </right>
    </border>
    <border>
      <bottom style="thin">
        <color rgb="FFE2E8F0"/>
      </bottom>
    </border>
    <border>
      <top style="thin">
        <color rgb="FFE2E8F0"/>
      </top>
      <bottom style="thin">
        <color rgb="FFE2E8F0"/>
      </bottom>
    </border>
    <border>
      <top style="thin">
        <color rgb="FFE2E8F0"/>
      </top>
      <bottom style="thin">
        <color rgb="FFCBD5E1"/>
      </bottom>
    </border>
    <border>
      <top style="thin">
        <color rgb="FFE2E8F0"/>
      </top>
    </border>
    <border>
      <right style="thin">
        <color rgb="FFE2E8F0"/>
      </right>
    </border>
    <border>
      <left style="thin">
        <color rgb="FFCBD5E1"/>
      </left>
      <right style="thin">
        <color rgb="FFCBD5E1"/>
      </right>
      <top style="thin">
        <color rgb="FFCBD5E1"/>
      </top>
      <bottom style="thin">
        <color rgb="FFCBD5E1"/>
      </bottom>
    </border>
  </borders>
  <cellStyleXfs count="1">
    <xf numFmtId="0" fontId="0" fillId="0" borderId="0"/>
  </cellStyleXfs>
  <cellXfs count="197">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horizontal="center"/>
    </xf>
    <xf numFmtId="0" fontId="0" fillId="4" borderId="0" pivotButton="0" quotePrefix="0" xfId="0"/>
    <xf numFmtId="0" fontId="3" fillId="4" borderId="0" pivotButton="0" quotePrefix="0" xfId="0"/>
    <xf numFmtId="0" fontId="3" fillId="4" borderId="0" applyAlignment="1" pivotButton="0" quotePrefix="0" xfId="0">
      <alignment horizontal="left"/>
    </xf>
    <xf numFmtId="0" fontId="3" fillId="4" borderId="0" applyAlignment="1" pivotButton="0" quotePrefix="0" xfId="0">
      <alignment horizontal="left" vertical="center"/>
    </xf>
    <xf numFmtId="0" fontId="4" fillId="2" borderId="0" pivotButton="0" quotePrefix="0" xfId="0"/>
    <xf numFmtId="0" fontId="4" fillId="2" borderId="1" pivotButton="0" quotePrefix="0" xfId="0"/>
    <xf numFmtId="0" fontId="4" fillId="2" borderId="2" pivotButton="0" quotePrefix="0" xfId="0"/>
    <xf numFmtId="0" fontId="4" fillId="2" borderId="1" applyAlignment="1" pivotButton="0" quotePrefix="0" xfId="0">
      <alignment wrapText="1"/>
    </xf>
    <xf numFmtId="0" fontId="4" fillId="2" borderId="2" applyAlignment="1" pivotButton="0" quotePrefix="0" xfId="0">
      <alignment wrapText="1"/>
    </xf>
    <xf numFmtId="0" fontId="4" fillId="2" borderId="1" applyAlignment="1" pivotButton="0" quotePrefix="0" xfId="0">
      <alignment horizontal="center" wrapText="1"/>
    </xf>
    <xf numFmtId="0" fontId="4" fillId="2" borderId="2" applyAlignment="1" pivotButton="0" quotePrefix="0" xfId="0">
      <alignment horizontal="center" wrapText="1"/>
    </xf>
    <xf numFmtId="0" fontId="4" fillId="2" borderId="1" applyAlignment="1" pivotButton="0" quotePrefix="0" xfId="0">
      <alignment horizontal="center" vertical="center" wrapText="1"/>
    </xf>
    <xf numFmtId="0" fontId="4" fillId="2" borderId="2" applyAlignment="1" pivotButton="0" quotePrefix="0" xfId="0">
      <alignment horizontal="center" vertical="center" wrapText="1"/>
    </xf>
    <xf numFmtId="0" fontId="0" fillId="5" borderId="0" pivotButton="0" quotePrefix="0" xfId="0"/>
    <xf numFmtId="0" fontId="5" fillId="5" borderId="0" pivotButton="0" quotePrefix="0" xfId="0"/>
    <xf numFmtId="0" fontId="5" fillId="5" borderId="0" applyAlignment="1" pivotButton="0" quotePrefix="0" xfId="0">
      <alignment wrapText="1"/>
    </xf>
    <xf numFmtId="0" fontId="0" fillId="6" borderId="0" pivotButton="0" quotePrefix="0" xfId="0"/>
    <xf numFmtId="0" fontId="6" fillId="6" borderId="0" pivotButton="0" quotePrefix="0" xfId="0"/>
    <xf numFmtId="0" fontId="6" fillId="6" borderId="3" pivotButton="0" quotePrefix="0" xfId="0"/>
    <xf numFmtId="0" fontId="6" fillId="6" borderId="4" pivotButton="0" quotePrefix="0" xfId="0"/>
    <xf numFmtId="0" fontId="6" fillId="6" borderId="5" pivotButton="0" quotePrefix="0" xfId="0"/>
    <xf numFmtId="0" fontId="6" fillId="6" borderId="2" pivotButton="0" quotePrefix="0" xfId="0"/>
    <xf numFmtId="0" fontId="6" fillId="6" borderId="1" pivotButton="0" quotePrefix="0" xfId="0"/>
    <xf numFmtId="0" fontId="6" fillId="6" borderId="6" pivotButton="0" quotePrefix="0" xfId="0"/>
    <xf numFmtId="0" fontId="6" fillId="6" borderId="7" pivotButton="0" quotePrefix="0" xfId="0"/>
    <xf numFmtId="0" fontId="6" fillId="6" borderId="8" pivotButton="0" quotePrefix="0" xfId="0"/>
    <xf numFmtId="0" fontId="6" fillId="6" borderId="3" applyAlignment="1" pivotButton="0" quotePrefix="0" xfId="0">
      <alignment wrapText="1"/>
    </xf>
    <xf numFmtId="0" fontId="6" fillId="6" borderId="4" applyAlignment="1" pivotButton="0" quotePrefix="0" xfId="0">
      <alignment wrapText="1"/>
    </xf>
    <xf numFmtId="0" fontId="6" fillId="6" borderId="5" applyAlignment="1" pivotButton="0" quotePrefix="0" xfId="0">
      <alignment wrapText="1"/>
    </xf>
    <xf numFmtId="0" fontId="6" fillId="6" borderId="2" applyAlignment="1" pivotButton="0" quotePrefix="0" xfId="0">
      <alignment wrapText="1"/>
    </xf>
    <xf numFmtId="0" fontId="6" fillId="6" borderId="0" applyAlignment="1" pivotButton="0" quotePrefix="0" xfId="0">
      <alignment wrapText="1"/>
    </xf>
    <xf numFmtId="0" fontId="6" fillId="6" borderId="1" applyAlignment="1" pivotButton="0" quotePrefix="0" xfId="0">
      <alignment wrapText="1"/>
    </xf>
    <xf numFmtId="0" fontId="6" fillId="6" borderId="6" applyAlignment="1" pivotButton="0" quotePrefix="0" xfId="0">
      <alignment wrapText="1"/>
    </xf>
    <xf numFmtId="0" fontId="6" fillId="6" borderId="7" applyAlignment="1" pivotButton="0" quotePrefix="0" xfId="0">
      <alignment wrapText="1"/>
    </xf>
    <xf numFmtId="0" fontId="6" fillId="6" borderId="8" applyAlignment="1" pivotButton="0" quotePrefix="0" xfId="0">
      <alignment wrapText="1"/>
    </xf>
    <xf numFmtId="0" fontId="6" fillId="6" borderId="3" applyAlignment="1" pivotButton="0" quotePrefix="0" xfId="0">
      <alignment vertical="top" wrapText="1"/>
    </xf>
    <xf numFmtId="0" fontId="6" fillId="6" borderId="4" applyAlignment="1" pivotButton="0" quotePrefix="0" xfId="0">
      <alignment vertical="top" wrapText="1"/>
    </xf>
    <xf numFmtId="0" fontId="6" fillId="6" borderId="5" applyAlignment="1" pivotButton="0" quotePrefix="0" xfId="0">
      <alignment vertical="top" wrapText="1"/>
    </xf>
    <xf numFmtId="0" fontId="6" fillId="6" borderId="2" applyAlignment="1" pivotButton="0" quotePrefix="0" xfId="0">
      <alignment vertical="top" wrapText="1"/>
    </xf>
    <xf numFmtId="0" fontId="6" fillId="6" borderId="0" applyAlignment="1" pivotButton="0" quotePrefix="0" xfId="0">
      <alignment vertical="top" wrapText="1"/>
    </xf>
    <xf numFmtId="0" fontId="6" fillId="6" borderId="1" applyAlignment="1" pivotButton="0" quotePrefix="0" xfId="0">
      <alignment vertical="top" wrapText="1"/>
    </xf>
    <xf numFmtId="0" fontId="6" fillId="6" borderId="6" applyAlignment="1" pivotButton="0" quotePrefix="0" xfId="0">
      <alignment vertical="top" wrapText="1"/>
    </xf>
    <xf numFmtId="0" fontId="6" fillId="6" borderId="7" applyAlignment="1" pivotButton="0" quotePrefix="0" xfId="0">
      <alignment vertical="top" wrapText="1"/>
    </xf>
    <xf numFmtId="0" fontId="6" fillId="6" borderId="8" applyAlignment="1" pivotButton="0" quotePrefix="0" xfId="0">
      <alignment vertical="top" wrapText="1"/>
    </xf>
    <xf numFmtId="0" fontId="7" fillId="2" borderId="0" applyAlignment="1" pivotButton="0" quotePrefix="0" xfId="0">
      <alignment horizontal="center" vertical="center"/>
    </xf>
    <xf numFmtId="0" fontId="8" fillId="3" borderId="0" applyAlignment="1" pivotButton="0" quotePrefix="0" xfId="0">
      <alignment horizontal="center"/>
    </xf>
    <xf numFmtId="0" fontId="9" fillId="0" borderId="0" pivotButton="0" quotePrefix="0" xfId="0"/>
    <xf numFmtId="0" fontId="10" fillId="4" borderId="0" applyAlignment="1" pivotButton="0" quotePrefix="0" xfId="0">
      <alignment horizontal="left" vertical="center"/>
    </xf>
    <xf numFmtId="0" fontId="11" fillId="2" borderId="1" applyAlignment="1" pivotButton="0" quotePrefix="0" xfId="0">
      <alignment horizontal="center" vertical="center" wrapText="1"/>
    </xf>
    <xf numFmtId="0" fontId="11" fillId="2" borderId="2" applyAlignment="1" pivotButton="0" quotePrefix="0" xfId="0">
      <alignment horizontal="center" vertical="center" wrapText="1"/>
    </xf>
    <xf numFmtId="0" fontId="12" fillId="5" borderId="0" applyAlignment="1" pivotButton="0" quotePrefix="0" xfId="0">
      <alignment wrapText="1"/>
    </xf>
    <xf numFmtId="0" fontId="13" fillId="6" borderId="3" applyAlignment="1" pivotButton="0" quotePrefix="0" xfId="0">
      <alignment vertical="top" wrapText="1"/>
    </xf>
    <xf numFmtId="0" fontId="13" fillId="6" borderId="4" applyAlignment="1" pivotButton="0" quotePrefix="0" xfId="0">
      <alignment vertical="top" wrapText="1"/>
    </xf>
    <xf numFmtId="0" fontId="13" fillId="6" borderId="5" applyAlignment="1" pivotButton="0" quotePrefix="0" xfId="0">
      <alignment vertical="top" wrapText="1"/>
    </xf>
    <xf numFmtId="0" fontId="13" fillId="6" borderId="2" applyAlignment="1" pivotButton="0" quotePrefix="0" xfId="0">
      <alignment vertical="top" wrapText="1"/>
    </xf>
    <xf numFmtId="0" fontId="13" fillId="6" borderId="0" applyAlignment="1" pivotButton="0" quotePrefix="0" xfId="0">
      <alignment vertical="top" wrapText="1"/>
    </xf>
    <xf numFmtId="0" fontId="13" fillId="6" borderId="1" applyAlignment="1" pivotButton="0" quotePrefix="0" xfId="0">
      <alignment vertical="top" wrapText="1"/>
    </xf>
    <xf numFmtId="0" fontId="13" fillId="6" borderId="6" applyAlignment="1" pivotButton="0" quotePrefix="0" xfId="0">
      <alignment vertical="top" wrapText="1"/>
    </xf>
    <xf numFmtId="0" fontId="13" fillId="6" borderId="7" applyAlignment="1" pivotButton="0" quotePrefix="0" xfId="0">
      <alignment vertical="top" wrapText="1"/>
    </xf>
    <xf numFmtId="0" fontId="13" fillId="6" borderId="8" applyAlignment="1" pivotButton="0" quotePrefix="0" xfId="0">
      <alignment vertical="top" wrapText="1"/>
    </xf>
    <xf numFmtId="0" fontId="8" fillId="3" borderId="0" pivotButton="0" quotePrefix="0" xfId="0"/>
    <xf numFmtId="0" fontId="8" fillId="3" borderId="0" applyAlignment="1" pivotButton="0" quotePrefix="0" xfId="0">
      <alignment horizontal="center" vertical="center"/>
    </xf>
    <xf numFmtId="0" fontId="9" fillId="0" borderId="0" applyAlignment="1" pivotButton="0" quotePrefix="0" xfId="0">
      <alignment vertical="center"/>
    </xf>
    <xf numFmtId="0" fontId="12" fillId="5" borderId="0" applyAlignment="1" pivotButton="0" quotePrefix="0" xfId="0">
      <alignment vertical="center" wrapText="1"/>
    </xf>
    <xf numFmtId="0" fontId="13" fillId="6" borderId="3" applyAlignment="1" pivotButton="0" quotePrefix="0" xfId="0">
      <alignment vertical="center" wrapText="1"/>
    </xf>
    <xf numFmtId="0" fontId="13" fillId="6" borderId="4" applyAlignment="1" pivotButton="0" quotePrefix="0" xfId="0">
      <alignment vertical="center" wrapText="1"/>
    </xf>
    <xf numFmtId="0" fontId="13" fillId="6" borderId="5" applyAlignment="1" pivotButton="0" quotePrefix="0" xfId="0">
      <alignment vertical="center" wrapText="1"/>
    </xf>
    <xf numFmtId="0" fontId="13" fillId="6" borderId="2" applyAlignment="1" pivotButton="0" quotePrefix="0" xfId="0">
      <alignment vertical="center" wrapText="1"/>
    </xf>
    <xf numFmtId="0" fontId="13" fillId="6" borderId="0" applyAlignment="1" pivotButton="0" quotePrefix="0" xfId="0">
      <alignment vertical="center" wrapText="1"/>
    </xf>
    <xf numFmtId="0" fontId="13" fillId="6" borderId="1" applyAlignment="1" pivotButton="0" quotePrefix="0" xfId="0">
      <alignment vertical="center" wrapText="1"/>
    </xf>
    <xf numFmtId="0" fontId="13" fillId="6" borderId="6" applyAlignment="1" pivotButton="0" quotePrefix="0" xfId="0">
      <alignment vertical="center" wrapText="1"/>
    </xf>
    <xf numFmtId="0" fontId="13" fillId="6" borderId="7" applyAlignment="1" pivotButton="0" quotePrefix="0" xfId="0">
      <alignment vertical="center" wrapText="1"/>
    </xf>
    <xf numFmtId="0" fontId="13" fillId="6" borderId="8" applyAlignment="1" pivotButton="0" quotePrefix="0" xfId="0">
      <alignment vertical="center" wrapText="1"/>
    </xf>
    <xf numFmtId="0" fontId="8" fillId="3" borderId="0" applyAlignment="1" pivotButton="0" quotePrefix="0" xfId="0">
      <alignment vertical="center"/>
    </xf>
    <xf numFmtId="0" fontId="7" fillId="2" borderId="9" applyAlignment="1" pivotButton="0" quotePrefix="0" xfId="0">
      <alignment horizontal="center" vertical="center"/>
    </xf>
    <xf numFmtId="0" fontId="7" fillId="2" borderId="10" applyAlignment="1" pivotButton="0" quotePrefix="0" xfId="0">
      <alignment horizontal="center" vertical="center"/>
    </xf>
    <xf numFmtId="0" fontId="7" fillId="2" borderId="11" applyAlignment="1" pivotButton="0" quotePrefix="0" xfId="0">
      <alignment horizontal="center" vertical="center"/>
    </xf>
    <xf numFmtId="0" fontId="7" fillId="2" borderId="12" applyAlignment="1" pivotButton="0" quotePrefix="0" xfId="0">
      <alignment horizontal="center" vertical="center"/>
    </xf>
    <xf numFmtId="0" fontId="7" fillId="2" borderId="13" applyAlignment="1" pivotButton="0" quotePrefix="0" xfId="0">
      <alignment horizontal="center" vertical="center"/>
    </xf>
    <xf numFmtId="0" fontId="7" fillId="2" borderId="14" applyAlignment="1" pivotButton="0" quotePrefix="0" xfId="0">
      <alignment horizontal="center" vertical="center"/>
    </xf>
    <xf numFmtId="0" fontId="8" fillId="3" borderId="12"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9" fillId="0" borderId="12" applyAlignment="1" pivotButton="0" quotePrefix="0" xfId="0">
      <alignment vertical="center"/>
    </xf>
    <xf numFmtId="0" fontId="9" fillId="0" borderId="13" applyAlignment="1" pivotButton="0" quotePrefix="0" xfId="0">
      <alignment vertical="center"/>
    </xf>
    <xf numFmtId="0" fontId="9" fillId="0" borderId="14" applyAlignment="1" pivotButton="0" quotePrefix="0" xfId="0">
      <alignment vertical="center"/>
    </xf>
    <xf numFmtId="0" fontId="10" fillId="4" borderId="12" applyAlignment="1" pivotButton="0" quotePrefix="0" xfId="0">
      <alignment horizontal="left" vertical="center"/>
    </xf>
    <xf numFmtId="0" fontId="10" fillId="4" borderId="13" applyAlignment="1" pivotButton="0" quotePrefix="0" xfId="0">
      <alignment horizontal="left" vertical="center"/>
    </xf>
    <xf numFmtId="0" fontId="10" fillId="4" borderId="14" applyAlignment="1" pivotButton="0" quotePrefix="0" xfId="0">
      <alignment horizontal="left" vertical="center"/>
    </xf>
    <xf numFmtId="0" fontId="11" fillId="2" borderId="12" applyAlignment="1" pivotButton="0" quotePrefix="0" xfId="0">
      <alignment horizontal="center" vertical="center" wrapText="1"/>
    </xf>
    <xf numFmtId="0" fontId="11" fillId="2" borderId="13" applyAlignment="1" pivotButton="0" quotePrefix="0" xfId="0">
      <alignment horizontal="center" vertical="center" wrapText="1"/>
    </xf>
    <xf numFmtId="0" fontId="12" fillId="5" borderId="12" applyAlignment="1" pivotButton="0" quotePrefix="0" xfId="0">
      <alignment vertical="center" wrapText="1"/>
    </xf>
    <xf numFmtId="0" fontId="12" fillId="5" borderId="13" applyAlignment="1" pivotButton="0" quotePrefix="0" xfId="0">
      <alignment vertical="center" wrapText="1"/>
    </xf>
    <xf numFmtId="0" fontId="12" fillId="5" borderId="14" applyAlignment="1" pivotButton="0" quotePrefix="0" xfId="0">
      <alignment vertical="center" wrapText="1"/>
    </xf>
    <xf numFmtId="0" fontId="13" fillId="6" borderId="12" applyAlignment="1" pivotButton="0" quotePrefix="0" xfId="0">
      <alignment vertical="center" wrapText="1"/>
    </xf>
    <xf numFmtId="0" fontId="13" fillId="6" borderId="13" applyAlignment="1" pivotButton="0" quotePrefix="0" xfId="0">
      <alignment vertical="center" wrapText="1"/>
    </xf>
    <xf numFmtId="0" fontId="13" fillId="6" borderId="14" applyAlignment="1" pivotButton="0" quotePrefix="0" xfId="0">
      <alignment vertical="center" wrapText="1"/>
    </xf>
    <xf numFmtId="0" fontId="8" fillId="3" borderId="12" applyAlignment="1" pivotButton="0" quotePrefix="0" xfId="0">
      <alignment vertical="center"/>
    </xf>
    <xf numFmtId="0" fontId="8" fillId="3" borderId="13" applyAlignment="1" pivotButton="0" quotePrefix="0" xfId="0">
      <alignment vertical="center"/>
    </xf>
    <xf numFmtId="0" fontId="8" fillId="3" borderId="15" applyAlignment="1" pivotButton="0" quotePrefix="0" xfId="0">
      <alignment vertical="center"/>
    </xf>
    <xf numFmtId="0" fontId="9" fillId="0" borderId="16" applyAlignment="1" pivotButton="0" quotePrefix="0" xfId="0">
      <alignment vertical="center"/>
    </xf>
    <xf numFmtId="0" fontId="8" fillId="3" borderId="16" applyAlignment="1" pivotButton="0" quotePrefix="0" xfId="0">
      <alignment vertical="center"/>
    </xf>
    <xf numFmtId="0" fontId="9" fillId="0" borderId="17" applyAlignment="1" pivotButton="0" quotePrefix="0" xfId="0">
      <alignment vertical="center"/>
    </xf>
    <xf numFmtId="3" fontId="9" fillId="0" borderId="13" applyAlignment="1" pivotButton="0" quotePrefix="0" xfId="0">
      <alignment vertical="center"/>
    </xf>
    <xf numFmtId="0" fontId="14" fillId="3" borderId="0" pivotButton="0" quotePrefix="0" xfId="0"/>
    <xf numFmtId="0" fontId="14" fillId="3" borderId="0" applyAlignment="1" pivotButton="0" quotePrefix="0" xfId="0">
      <alignment horizontal="center"/>
    </xf>
    <xf numFmtId="0" fontId="4" fillId="2" borderId="18" pivotButton="0" quotePrefix="0" xfId="0"/>
    <xf numFmtId="0" fontId="4" fillId="2" borderId="18" applyAlignment="1" pivotButton="0" quotePrefix="0" xfId="0">
      <alignment wrapText="1"/>
    </xf>
    <xf numFmtId="0" fontId="4" fillId="2" borderId="18" applyAlignment="1" pivotButton="0" quotePrefix="0" xfId="0">
      <alignment horizontal="center" wrapText="1"/>
    </xf>
    <xf numFmtId="0" fontId="4" fillId="2" borderId="18" applyAlignment="1" pivotButton="0" quotePrefix="0" xfId="0">
      <alignment horizontal="center" vertical="center" wrapText="1"/>
    </xf>
    <xf numFmtId="3" fontId="0" fillId="0" borderId="0" pivotButton="0" quotePrefix="0" xfId="0"/>
    <xf numFmtId="4" fontId="0" fillId="0" borderId="0" pivotButton="0" quotePrefix="0" xfId="0"/>
    <xf numFmtId="4" fontId="0" fillId="7" borderId="0" pivotButton="0" quotePrefix="0" xfId="0"/>
    <xf numFmtId="0" fontId="0" fillId="7" borderId="0" pivotButton="0" quotePrefix="0" xfId="0"/>
    <xf numFmtId="0" fontId="0" fillId="0" borderId="19" pivotButton="0" quotePrefix="0" xfId="0"/>
    <xf numFmtId="3" fontId="0" fillId="0" borderId="19" pivotButton="0" quotePrefix="0" xfId="0"/>
    <xf numFmtId="4" fontId="0" fillId="7" borderId="19" pivotButton="0" quotePrefix="0" xfId="0"/>
    <xf numFmtId="0" fontId="0" fillId="7" borderId="19" pivotButton="0" quotePrefix="0" xfId="0"/>
    <xf numFmtId="0" fontId="0" fillId="0" borderId="20" pivotButton="0" quotePrefix="0" xfId="0"/>
    <xf numFmtId="3" fontId="0" fillId="0" borderId="20" pivotButton="0" quotePrefix="0" xfId="0"/>
    <xf numFmtId="4" fontId="0" fillId="7" borderId="20" pivotButton="0" quotePrefix="0" xfId="0"/>
    <xf numFmtId="0" fontId="0" fillId="7" borderId="20" pivotButton="0" quotePrefix="0" xfId="0"/>
    <xf numFmtId="0" fontId="0" fillId="0" borderId="21" pivotButton="0" quotePrefix="0" xfId="0"/>
    <xf numFmtId="3" fontId="0" fillId="0" borderId="21" pivotButton="0" quotePrefix="0" xfId="0"/>
    <xf numFmtId="4" fontId="0" fillId="7" borderId="21" pivotButton="0" quotePrefix="0" xfId="0"/>
    <xf numFmtId="0" fontId="0" fillId="7" borderId="21" pivotButton="0" quotePrefix="0" xfId="0"/>
    <xf numFmtId="0" fontId="0" fillId="0" borderId="19" applyAlignment="1" pivotButton="0" quotePrefix="0" xfId="0">
      <alignment vertical="center"/>
    </xf>
    <xf numFmtId="3" fontId="0" fillId="0" borderId="19" applyAlignment="1" pivotButton="0" quotePrefix="0" xfId="0">
      <alignment vertical="center"/>
    </xf>
    <xf numFmtId="4" fontId="0" fillId="7" borderId="19" applyAlignment="1" pivotButton="0" quotePrefix="0" xfId="0">
      <alignment vertical="center"/>
    </xf>
    <xf numFmtId="0" fontId="0" fillId="7" borderId="19" applyAlignment="1" pivotButton="0" quotePrefix="0" xfId="0">
      <alignment vertical="center"/>
    </xf>
    <xf numFmtId="0" fontId="0" fillId="0" borderId="20" applyAlignment="1" pivotButton="0" quotePrefix="0" xfId="0">
      <alignment vertical="center"/>
    </xf>
    <xf numFmtId="3" fontId="0" fillId="0" borderId="20" applyAlignment="1" pivotButton="0" quotePrefix="0" xfId="0">
      <alignment vertical="center"/>
    </xf>
    <xf numFmtId="4" fontId="0" fillId="7" borderId="20" applyAlignment="1" pivotButton="0" quotePrefix="0" xfId="0">
      <alignment vertical="center"/>
    </xf>
    <xf numFmtId="0" fontId="0" fillId="7" borderId="20" applyAlignment="1" pivotButton="0" quotePrefix="0" xfId="0">
      <alignment vertical="center"/>
    </xf>
    <xf numFmtId="0" fontId="0" fillId="0" borderId="21" applyAlignment="1" pivotButton="0" quotePrefix="0" xfId="0">
      <alignment vertical="center"/>
    </xf>
    <xf numFmtId="3" fontId="0" fillId="0" borderId="21" applyAlignment="1" pivotButton="0" quotePrefix="0" xfId="0">
      <alignment vertical="center"/>
    </xf>
    <xf numFmtId="4" fontId="0" fillId="7" borderId="21" applyAlignment="1" pivotButton="0" quotePrefix="0" xfId="0">
      <alignment vertical="center"/>
    </xf>
    <xf numFmtId="0" fontId="0" fillId="7" borderId="21" applyAlignment="1" pivotButton="0" quotePrefix="0" xfId="0">
      <alignment vertical="center"/>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15" fillId="3" borderId="0" applyAlignment="1" pivotButton="0" quotePrefix="0" xfId="0">
      <alignment horizontal="center"/>
    </xf>
    <xf numFmtId="0" fontId="0" fillId="0" borderId="19" applyAlignment="1" pivotButton="0" quotePrefix="0" xfId="0">
      <alignment wrapText="1"/>
    </xf>
    <xf numFmtId="0" fontId="0" fillId="7" borderId="19" applyAlignment="1" pivotButton="0" quotePrefix="0" xfId="0">
      <alignment wrapText="1"/>
    </xf>
    <xf numFmtId="0" fontId="0" fillId="0" borderId="20" applyAlignment="1" pivotButton="0" quotePrefix="0" xfId="0">
      <alignment wrapText="1"/>
    </xf>
    <xf numFmtId="0" fontId="0" fillId="7" borderId="20" applyAlignment="1" pivotButton="0" quotePrefix="0" xfId="0">
      <alignment wrapText="1"/>
    </xf>
    <xf numFmtId="0" fontId="0" fillId="0" borderId="21" applyAlignment="1" pivotButton="0" quotePrefix="0" xfId="0">
      <alignment wrapText="1"/>
    </xf>
    <xf numFmtId="0" fontId="0" fillId="7" borderId="21" applyAlignment="1" pivotButton="0" quotePrefix="0" xfId="0">
      <alignment wrapText="1"/>
    </xf>
    <xf numFmtId="164" fontId="0" fillId="0" borderId="0" pivotButton="0" quotePrefix="0" xfId="0"/>
    <xf numFmtId="164" fontId="0" fillId="0" borderId="19" pivotButton="0" quotePrefix="0" xfId="0"/>
    <xf numFmtId="4" fontId="0" fillId="0" borderId="19" pivotButton="0" quotePrefix="0" xfId="0"/>
    <xf numFmtId="164" fontId="0" fillId="0" borderId="20" pivotButton="0" quotePrefix="0" xfId="0"/>
    <xf numFmtId="4" fontId="0" fillId="0" borderId="20" pivotButton="0" quotePrefix="0" xfId="0"/>
    <xf numFmtId="0" fontId="0" fillId="0" borderId="22" pivotButton="0" quotePrefix="0" xfId="0"/>
    <xf numFmtId="164" fontId="0" fillId="0" borderId="22" pivotButton="0" quotePrefix="0" xfId="0"/>
    <xf numFmtId="4" fontId="0" fillId="0" borderId="22" pivotButton="0" quotePrefix="0" xfId="0"/>
    <xf numFmtId="0" fontId="0" fillId="0" borderId="23" pivotButton="0" quotePrefix="0" xfId="0"/>
    <xf numFmtId="0" fontId="0" fillId="0" borderId="9" pivotButton="0" quotePrefix="0" xfId="0"/>
    <xf numFmtId="0" fontId="0" fillId="0" borderId="12" pivotButton="0" quotePrefix="0" xfId="0"/>
    <xf numFmtId="3" fontId="9" fillId="0" borderId="13" applyAlignment="1" pivotButton="0" quotePrefix="0" xfId="0">
      <alignment vertical="center"/>
    </xf>
    <xf numFmtId="0" fontId="0" fillId="0" borderId="15" pivotButton="0" quotePrefix="0" xfId="0"/>
    <xf numFmtId="0" fontId="18" fillId="0" borderId="0" pivotButton="0" quotePrefix="0" xfId="0"/>
    <xf numFmtId="3" fontId="0" fillId="0" borderId="19" applyAlignment="1" pivotButton="0" quotePrefix="0" xfId="0">
      <alignment vertical="center"/>
    </xf>
    <xf numFmtId="165" fontId="16" fillId="7" borderId="19" applyAlignment="1" pivotButton="0" quotePrefix="0" xfId="0">
      <alignment vertical="center"/>
    </xf>
    <xf numFmtId="0" fontId="0" fillId="7" borderId="19" applyAlignment="1" pivotButton="0" quotePrefix="0" xfId="0">
      <alignment vertical="top" wrapText="1"/>
    </xf>
    <xf numFmtId="3" fontId="0" fillId="0" borderId="20" applyAlignment="1" pivotButton="0" quotePrefix="0" xfId="0">
      <alignment vertical="center"/>
    </xf>
    <xf numFmtId="165" fontId="16" fillId="7" borderId="20" applyAlignment="1" pivotButton="0" quotePrefix="0" xfId="0">
      <alignment vertical="center"/>
    </xf>
    <xf numFmtId="0" fontId="0" fillId="7" borderId="20" applyAlignment="1" pivotButton="0" quotePrefix="0" xfId="0">
      <alignment vertical="top" wrapText="1"/>
    </xf>
    <xf numFmtId="3" fontId="0" fillId="0" borderId="21" applyAlignment="1" pivotButton="0" quotePrefix="0" xfId="0">
      <alignment vertical="center"/>
    </xf>
    <xf numFmtId="165" fontId="16" fillId="7" borderId="21" applyAlignment="1" pivotButton="0" quotePrefix="0" xfId="0">
      <alignment vertical="center"/>
    </xf>
    <xf numFmtId="0" fontId="0" fillId="7" borderId="21" applyAlignment="1" pivotButton="0" quotePrefix="0" xfId="0">
      <alignment vertical="top" wrapText="1"/>
    </xf>
    <xf numFmtId="0" fontId="17" fillId="0" borderId="0" pivotButton="0" quotePrefix="0" xfId="0"/>
    <xf numFmtId="165" fontId="17" fillId="8" borderId="0" pivotButton="0" quotePrefix="0" xfId="0"/>
    <xf numFmtId="0" fontId="0" fillId="9" borderId="20" applyAlignment="1" pivotButton="0" quotePrefix="0" xfId="0">
      <alignment vertical="top" wrapText="1"/>
    </xf>
    <xf numFmtId="164" fontId="0" fillId="0" borderId="19" pivotButton="0" quotePrefix="0" xfId="0"/>
    <xf numFmtId="4" fontId="0" fillId="0" borderId="19" pivotButton="0" quotePrefix="0" xfId="0"/>
    <xf numFmtId="164" fontId="0" fillId="0" borderId="20" pivotButton="0" quotePrefix="0" xfId="0"/>
    <xf numFmtId="4" fontId="0" fillId="0" borderId="20" pivotButton="0" quotePrefix="0" xfId="0"/>
    <xf numFmtId="165" fontId="0" fillId="0" borderId="20" pivotButton="0" quotePrefix="0" xfId="0"/>
    <xf numFmtId="164" fontId="0" fillId="0" borderId="22" pivotButton="0" quotePrefix="0" xfId="0"/>
    <xf numFmtId="4" fontId="0" fillId="0" borderId="22" pivotButton="0" quotePrefix="0" xfId="0"/>
    <xf numFmtId="0" fontId="6" fillId="6" borderId="24" applyAlignment="1" pivotButton="0" quotePrefix="0" xfId="0">
      <alignment vertical="top" wrapText="1"/>
    </xf>
    <xf numFmtId="0" fontId="0" fillId="0" borderId="4" pivotButton="0" quotePrefix="0" xfId="0"/>
    <xf numFmtId="0" fontId="0" fillId="0" borderId="5" pivotButton="0" quotePrefix="0" xfId="0"/>
    <xf numFmtId="0" fontId="0" fillId="0" borderId="2" pivotButton="0" quotePrefix="0" xfId="0"/>
    <xf numFmtId="0" fontId="0" fillId="0" borderId="1" pivotButton="0" quotePrefix="0" xfId="0"/>
    <xf numFmtId="0" fontId="0" fillId="0" borderId="6" pivotButton="0" quotePrefix="0" xfId="0"/>
    <xf numFmtId="0" fontId="0" fillId="0" borderId="7" pivotButton="0" quotePrefix="0" xfId="0"/>
    <xf numFmtId="0" fontId="0" fillId="0" borderId="8" pivotButton="0" quotePrefix="0" xfId="0"/>
  </cellXfs>
  <cellStyles count="1">
    <cellStyle name="Normal" xfId="0"/>
  </cellStyles>
  <dxfs count="3">
    <dxf>
      <font>
        <b val="1"/>
        <color rgb="FF166534"/>
      </font>
      <fill>
        <patternFill patternType="solid">
          <bgColor rgb="FFDCFCE7"/>
        </patternFill>
      </fill>
    </dxf>
    <dxf>
      <font>
        <color rgb="FF92400E"/>
      </font>
      <fill>
        <patternFill patternType="solid">
          <bgColor rgb="FFFEF3C7"/>
        </patternFill>
      </fill>
    </dxf>
    <dxf>
      <font>
        <color rgb="FF991B1B"/>
      </font>
      <fill>
        <patternFill patternType="solid">
          <bgColor rgb="FF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GearboxRFQTable" displayName="GearboxRFQTable" ref="A6:N151" headerRowCount="1" totalsRowCount="0" totalsRowShown="0">
  <tableColumns count="14">
    <tableColumn id="1" name="Item No."/>
    <tableColumn id="2" name="Category"/>
    <tableColumn id="3" name="Series / Type"/>
    <tableColumn id="4" name="Size"/>
    <tableColumn id="5" name="Motor Power (kW)"/>
    <tableColumn id="6" name="Reduction Ratio"/>
    <tableColumn id="7" name="Mounting"/>
    <tableColumn id="8" name="Output"/>
    <tableColumn id="9" name="Input"/>
    <tableColumn id="10" name="Qty"/>
    <tableColumn id="11" name="Unit Price"/>
    <tableColumn id="12" name="Total Price"/>
    <tableColumn id="13" name="Lead Time"/>
    <tableColumn id="14" name="Notes / Supplier Devi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30" customWidth="1" min="1" max="1"/>
    <col width="18" customWidth="1" min="2" max="2"/>
    <col width="17" customWidth="1" min="3" max="3"/>
    <col width="17" customWidth="1" min="4" max="4"/>
    <col width="17" customWidth="1" min="5" max="5"/>
    <col width="28" customWidth="1" min="6" max="6"/>
    <col width="17" customWidth="1" min="7" max="7"/>
    <col width="17" customWidth="1" min="8" max="8"/>
  </cols>
  <sheetData>
    <row r="1" ht="34" customHeight="1">
      <c r="A1" s="82" t="inlineStr">
        <is>
          <t>GEARBOXES &amp; SPEED REDUCERS – RFQ SUMMARY</t>
        </is>
      </c>
      <c r="H1" s="164" t="n"/>
    </row>
    <row r="2" ht="34" customHeight="1">
      <c r="A2" s="122" t="n"/>
      <c r="B2" s="122" t="n"/>
      <c r="C2" s="122" t="n"/>
      <c r="D2" s="122" t="n"/>
      <c r="E2" s="122" t="n"/>
      <c r="F2" s="122" t="n"/>
      <c r="G2" s="122" t="n"/>
      <c r="H2" s="165" t="n"/>
    </row>
    <row r="3">
      <c r="A3" s="88" t="inlineStr">
        <is>
          <t>Almotasem Industrial Equipment Company | Amman, Jordan | Established 2019</t>
        </is>
      </c>
      <c r="B3" s="126" t="n"/>
      <c r="C3" s="126" t="n"/>
      <c r="D3" s="126" t="n"/>
      <c r="E3" s="126" t="n"/>
      <c r="F3" s="126" t="n"/>
      <c r="G3" s="126" t="n"/>
      <c r="H3" s="166" t="n"/>
    </row>
    <row r="4">
      <c r="A4" s="91" t="n"/>
      <c r="B4" s="92" t="n"/>
      <c r="C4" s="92" t="n"/>
      <c r="D4" s="92" t="n"/>
      <c r="E4" s="92" t="n"/>
      <c r="F4" s="92" t="n"/>
      <c r="G4" s="92" t="n"/>
      <c r="H4" s="93" t="n"/>
    </row>
    <row r="5">
      <c r="A5" s="94" t="inlineStr">
        <is>
          <t>Order Overview / ملخص الطلبية</t>
        </is>
      </c>
      <c r="B5" s="126" t="n"/>
      <c r="C5" s="126" t="n"/>
      <c r="D5" s="126" t="n"/>
      <c r="E5" s="126" t="n"/>
      <c r="F5" s="126" t="n"/>
      <c r="G5" s="126" t="n"/>
      <c r="H5" s="166" t="n"/>
    </row>
    <row r="6">
      <c r="A6" s="97" t="inlineStr">
        <is>
          <t>Category</t>
        </is>
      </c>
      <c r="B6" s="98" t="inlineStr">
        <is>
          <t>Quantity</t>
        </is>
      </c>
      <c r="C6" s="92" t="n"/>
      <c r="D6" s="98" t="inlineStr">
        <is>
          <t>Key Metric</t>
        </is>
      </c>
      <c r="E6" s="98" t="inlineStr">
        <is>
          <t>Value</t>
        </is>
      </c>
      <c r="F6" s="92" t="n"/>
      <c r="G6" s="92" t="n"/>
      <c r="H6" s="93" t="n"/>
    </row>
    <row r="7">
      <c r="A7" s="91" t="inlineStr">
        <is>
          <t>Worm Gearbox – NMRV</t>
        </is>
      </c>
      <c r="B7" s="92" t="n">
        <v>350</v>
      </c>
      <c r="C7" s="92" t="n"/>
      <c r="D7" s="92" t="inlineStr">
        <is>
          <t>Total Units</t>
        </is>
      </c>
      <c r="E7" s="167">
        <f>SUM('RFQ Items'!J7:J200)</f>
        <v/>
      </c>
      <c r="F7" s="92" t="n"/>
      <c r="G7" s="92" t="n"/>
      <c r="H7" s="93" t="n"/>
    </row>
    <row r="8">
      <c r="A8" s="91" t="inlineStr">
        <is>
          <t>Helical Inline</t>
        </is>
      </c>
      <c r="B8" s="92" t="n">
        <v>45</v>
      </c>
      <c r="C8" s="92" t="n"/>
      <c r="D8" s="92" t="inlineStr">
        <is>
          <t>RFQ Lines</t>
        </is>
      </c>
      <c r="E8" s="167">
        <f>COUNTA('RFQ Items'!A7:A200)</f>
        <v/>
      </c>
      <c r="F8" s="92" t="n"/>
      <c r="G8" s="92" t="n"/>
      <c r="H8" s="93" t="n"/>
    </row>
    <row r="9">
      <c r="A9" s="91" t="inlineStr">
        <is>
          <t>Helical Bevel</t>
        </is>
      </c>
      <c r="B9" s="92" t="n">
        <v>30</v>
      </c>
      <c r="C9" s="92" t="n"/>
      <c r="D9" s="92" t="inlineStr">
        <is>
          <t>Destination</t>
        </is>
      </c>
      <c r="E9" s="92" t="inlineStr">
        <is>
          <t>Amman, Jordan</t>
        </is>
      </c>
      <c r="F9" s="92" t="n"/>
      <c r="G9" s="92" t="n"/>
      <c r="H9" s="93" t="n"/>
    </row>
    <row r="10">
      <c r="A10" s="91" t="inlineStr">
        <is>
          <t>Parallel Shaft</t>
        </is>
      </c>
      <c r="B10" s="92" t="n">
        <v>15</v>
      </c>
      <c r="C10" s="92" t="n"/>
      <c r="D10" s="92" t="n"/>
      <c r="E10" s="92" t="n"/>
      <c r="F10" s="92" t="n"/>
      <c r="G10" s="92" t="n"/>
      <c r="H10" s="93" t="n"/>
    </row>
    <row r="11">
      <c r="A11" s="91" t="inlineStr">
        <is>
          <t>Shaft Mounted Reducer</t>
        </is>
      </c>
      <c r="B11" s="92" t="n">
        <v>10</v>
      </c>
      <c r="C11" s="92" t="n"/>
      <c r="D11" s="92" t="n"/>
      <c r="E11" s="92" t="n"/>
      <c r="F11" s="92" t="n"/>
      <c r="G11" s="92" t="n"/>
      <c r="H11" s="93" t="n"/>
    </row>
    <row r="12">
      <c r="A12" s="91" t="n"/>
      <c r="B12" s="92" t="n"/>
      <c r="C12" s="92" t="n"/>
      <c r="D12" s="92" t="n"/>
      <c r="E12" s="92" t="n"/>
      <c r="F12" s="92" t="n"/>
      <c r="G12" s="92" t="n"/>
      <c r="H12" s="93" t="n"/>
    </row>
    <row r="13">
      <c r="A13" s="99" t="inlineStr">
        <is>
          <t>Important: NMRV 130 and 150 include 50 units at ratio 1:50 and 50 units at ratio 1:60 for each size.</t>
        </is>
      </c>
      <c r="B13" s="126" t="n"/>
      <c r="C13" s="126" t="n"/>
      <c r="D13" s="126" t="n"/>
      <c r="E13" s="126" t="n"/>
      <c r="F13" s="126" t="n"/>
      <c r="G13" s="126" t="n"/>
      <c r="H13" s="166" t="n"/>
    </row>
    <row r="14">
      <c r="A14" s="91" t="n"/>
      <c r="B14" s="92" t="n"/>
      <c r="C14" s="92" t="n"/>
      <c r="D14" s="92" t="n"/>
      <c r="E14" s="92" t="n"/>
      <c r="F14" s="92" t="n"/>
      <c r="G14" s="92" t="n"/>
      <c r="H14" s="93" t="n"/>
    </row>
    <row r="15">
      <c r="A15" s="102" t="inlineStr">
        <is>
          <t>Supplier must complete all yellow commercial cells in the RFQ Items sheet and provide catalogue, dimensional drawings, torque/service-factor selection, warranty, packing details, and EXW + FOB prices. Alternatives must be clearly identified and must not replace the requested configuration without approval.</t>
        </is>
      </c>
      <c r="B15" s="161" t="n"/>
      <c r="C15" s="161" t="n"/>
      <c r="D15" s="161" t="n"/>
      <c r="E15" s="161" t="n"/>
      <c r="F15" s="161" t="n"/>
      <c r="G15" s="161" t="n"/>
      <c r="H15" s="168" t="n"/>
    </row>
    <row r="16">
      <c r="H16" s="164" t="n"/>
    </row>
    <row r="17">
      <c r="H17" s="164" t="n"/>
    </row>
    <row r="18">
      <c r="A18" s="122" t="n"/>
      <c r="B18" s="122" t="n"/>
      <c r="C18" s="122" t="n"/>
      <c r="D18" s="122" t="n"/>
      <c r="E18" s="122" t="n"/>
      <c r="F18" s="122" t="n"/>
      <c r="G18" s="122" t="n"/>
      <c r="H18" s="165" t="n"/>
    </row>
    <row r="19">
      <c r="A19" s="91" t="n"/>
      <c r="B19" s="92" t="n"/>
      <c r="C19" s="92" t="n"/>
      <c r="D19" s="92" t="n"/>
      <c r="E19" s="92" t="n"/>
      <c r="F19" s="92" t="n"/>
      <c r="G19" s="92" t="n"/>
      <c r="H19" s="93" t="n"/>
    </row>
    <row r="20">
      <c r="A20" s="105" t="inlineStr">
        <is>
          <t>Company</t>
        </is>
      </c>
      <c r="B20" s="92" t="inlineStr">
        <is>
          <t>Almotasem Industrial Equipment Company</t>
        </is>
      </c>
      <c r="C20" s="92" t="str"/>
      <c r="D20" s="92" t="str"/>
      <c r="E20" s="106" t="inlineStr">
        <is>
          <t>Email</t>
        </is>
      </c>
      <c r="F20" s="92" t="inlineStr">
        <is>
          <t>dr.jobaili@gmail.com</t>
        </is>
      </c>
      <c r="G20" s="92" t="str"/>
      <c r="H20" s="93" t="str"/>
    </row>
    <row r="21">
      <c r="A21" s="105" t="inlineStr">
        <is>
          <t>Country</t>
        </is>
      </c>
      <c r="B21" s="92" t="inlineStr">
        <is>
          <t>Jordan</t>
        </is>
      </c>
      <c r="C21" s="92" t="str"/>
      <c r="D21" s="92" t="str"/>
      <c r="E21" s="106" t="inlineStr">
        <is>
          <t>Phone / WhatsApp</t>
        </is>
      </c>
      <c r="F21" s="92" t="inlineStr">
        <is>
          <t>+962 79 686 8734</t>
        </is>
      </c>
      <c r="G21" s="92" t="str"/>
      <c r="H21" s="93" t="str"/>
    </row>
    <row r="22">
      <c r="A22" s="105" t="inlineStr">
        <is>
          <t>Year established</t>
        </is>
      </c>
      <c r="B22" s="92" t="n">
        <v>2019</v>
      </c>
      <c r="C22" s="92" t="str"/>
      <c r="D22" s="92" t="str"/>
      <c r="E22" s="106" t="inlineStr">
        <is>
          <t>Website</t>
        </is>
      </c>
      <c r="F22" s="92" t="inlineStr">
        <is>
          <t>Under development</t>
        </is>
      </c>
      <c r="G22" s="92" t="str"/>
      <c r="H22" s="93" t="str"/>
    </row>
    <row r="23">
      <c r="A23" s="107" t="inlineStr">
        <is>
          <t>Requested currencies</t>
        </is>
      </c>
      <c r="B23" s="108" t="inlineStr">
        <is>
          <t>USD / EUR</t>
        </is>
      </c>
      <c r="C23" s="108" t="str"/>
      <c r="D23" s="108" t="str"/>
      <c r="E23" s="109" t="inlineStr">
        <is>
          <t>Price basis</t>
        </is>
      </c>
      <c r="F23" s="108" t="inlineStr">
        <is>
          <t>EXW and FOB</t>
        </is>
      </c>
      <c r="G23" s="108" t="str"/>
      <c r="H23" s="110" t="str"/>
    </row>
  </sheetData>
  <mergeCells count="5">
    <mergeCell ref="A3:H3"/>
    <mergeCell ref="A15:H18"/>
    <mergeCell ref="A13:H13"/>
    <mergeCell ref="A5:H5"/>
    <mergeCell ref="A1:H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152"/>
  <sheetViews>
    <sheetView showGridLines="0" workbookViewId="0">
      <selection activeCell="A1" sqref="A1"/>
    </sheetView>
  </sheetViews>
  <sheetFormatPr baseColWidth="8" defaultRowHeight="15"/>
  <cols>
    <col width="13" customWidth="1" min="1" max="1"/>
    <col width="23" customWidth="1" min="2" max="2"/>
    <col width="19" customWidth="1" min="3" max="3"/>
    <col width="16" customWidth="1" min="4" max="4"/>
    <col width="16" customWidth="1" min="5" max="5"/>
    <col width="16" customWidth="1" min="6" max="6"/>
    <col width="21" customWidth="1" min="7" max="7"/>
    <col width="23" customWidth="1" min="8" max="8"/>
    <col width="23" customWidth="1" min="9" max="9"/>
    <col width="9" customWidth="1" min="10" max="10"/>
    <col width="14" customWidth="1" min="11" max="11"/>
    <col width="14" customWidth="1" min="12" max="12"/>
    <col width="15" customWidth="1" min="13" max="13"/>
    <col width="110" customWidth="1" min="14" max="14"/>
  </cols>
  <sheetData>
    <row r="1" ht="34" customHeight="1">
      <c r="A1" s="52" t="inlineStr">
        <is>
          <t>REQUEST FOR QUOTATION – GEARBOXES &amp; SPEED REDUCERS</t>
        </is>
      </c>
    </row>
    <row r="2" ht="34" customHeight="1"/>
    <row r="3">
      <c r="A3" s="149" t="inlineStr">
        <is>
          <t>Please fill Unit Price, Total Price, Lead Time and any deviations. Quote EXW and FOB terms in the Commercial Terms sheet.</t>
        </is>
      </c>
    </row>
    <row r="4">
      <c r="A4" s="169" t="inlineStr">
        <is>
          <t>Offer: İ.Mak (Turkey) equivalent units · Prices in EUR, EXW · Unit Price is the final price per unit, including the options listed in the Notes column</t>
        </is>
      </c>
    </row>
    <row r="6">
      <c r="A6" s="19" t="inlineStr">
        <is>
          <t>Item No.</t>
        </is>
      </c>
      <c r="B6" s="117" t="inlineStr">
        <is>
          <t>Category</t>
        </is>
      </c>
      <c r="C6" s="117" t="inlineStr">
        <is>
          <t>Series / Type</t>
        </is>
      </c>
      <c r="D6" s="117" t="inlineStr">
        <is>
          <t>Size</t>
        </is>
      </c>
      <c r="E6" s="117" t="inlineStr">
        <is>
          <t>Motor Power (kW)</t>
        </is>
      </c>
      <c r="F6" s="117" t="inlineStr">
        <is>
          <t>Reduction Ratio</t>
        </is>
      </c>
      <c r="G6" s="117" t="inlineStr">
        <is>
          <t>Mounting</t>
        </is>
      </c>
      <c r="H6" s="117" t="inlineStr">
        <is>
          <t>Output</t>
        </is>
      </c>
      <c r="I6" s="117" t="inlineStr">
        <is>
          <t>Input</t>
        </is>
      </c>
      <c r="J6" s="117" t="inlineStr">
        <is>
          <t>Qty</t>
        </is>
      </c>
      <c r="K6" s="117" t="inlineStr">
        <is>
          <t>Unit Price</t>
        </is>
      </c>
      <c r="L6" s="117" t="inlineStr">
        <is>
          <t>Total Price</t>
        </is>
      </c>
      <c r="M6" s="117" t="inlineStr">
        <is>
          <t>Lead Time</t>
        </is>
      </c>
      <c r="N6" s="20" t="inlineStr">
        <is>
          <t>Notes / Supplier Deviation</t>
        </is>
      </c>
    </row>
    <row r="7">
      <c r="A7" s="134" t="inlineStr">
        <is>
          <t>GB-001</t>
        </is>
      </c>
      <c r="B7" s="146" t="inlineStr">
        <is>
          <t>Worm Gearbox</t>
        </is>
      </c>
      <c r="C7" s="146" t="inlineStr">
        <is>
          <t>NMRV</t>
        </is>
      </c>
      <c r="D7" s="146" t="inlineStr">
        <is>
          <t>040</t>
        </is>
      </c>
      <c r="E7" s="146" t="str"/>
      <c r="F7" s="146" t="inlineStr">
        <is>
          <t>1:10</t>
        </is>
      </c>
      <c r="G7" s="146" t="inlineStr">
        <is>
          <t>Universal</t>
        </is>
      </c>
      <c r="H7" s="146" t="inlineStr">
        <is>
          <t>Hollow shaft, keyed</t>
        </is>
      </c>
      <c r="I7" s="146" t="inlineStr">
        <is>
          <t>IEC motor adaptor/input</t>
        </is>
      </c>
      <c r="J7" s="170" t="n">
        <v>6</v>
      </c>
      <c r="K7" s="171" t="n">
        <v>83.84999999999999</v>
      </c>
      <c r="L7" s="171" t="n">
        <v>503.1</v>
      </c>
      <c r="M7" s="137" t="inlineStr">
        <is>
          <t>TBC</t>
        </is>
      </c>
      <c r="N7" s="172" t="inlineStr">
        <is>
          <t>Factory-filled oil; quote output flange, torque arm and shafts separately || OFFERED: İ.Mak SP 40 i=10 (IEC B14/B5 input flange, hollow output) | Direct NMRV equivalent, i=10, hollow Ø18 | Options included in Unit Price: Output flange €4.55; Torque arm €5.85; Output shaft €5.20</t>
        </is>
      </c>
    </row>
    <row r="8">
      <c r="A8" s="138" t="inlineStr">
        <is>
          <t>GB-002</t>
        </is>
      </c>
      <c r="B8" s="147" t="inlineStr">
        <is>
          <t>Worm Gearbox</t>
        </is>
      </c>
      <c r="C8" s="147" t="inlineStr">
        <is>
          <t>NMRV</t>
        </is>
      </c>
      <c r="D8" s="147" t="inlineStr">
        <is>
          <t>040</t>
        </is>
      </c>
      <c r="E8" s="147" t="str"/>
      <c r="F8" s="147" t="inlineStr">
        <is>
          <t>1:15</t>
        </is>
      </c>
      <c r="G8" s="147" t="inlineStr">
        <is>
          <t>Universal</t>
        </is>
      </c>
      <c r="H8" s="147" t="inlineStr">
        <is>
          <t>Hollow shaft, keyed</t>
        </is>
      </c>
      <c r="I8" s="147" t="inlineStr">
        <is>
          <t>IEC motor adaptor/input</t>
        </is>
      </c>
      <c r="J8" s="173" t="n">
        <v>5</v>
      </c>
      <c r="K8" s="174" t="n">
        <v>83.84999999999999</v>
      </c>
      <c r="L8" s="174" t="n">
        <v>419.25</v>
      </c>
      <c r="M8" s="141" t="inlineStr">
        <is>
          <t>TBC</t>
        </is>
      </c>
      <c r="N8" s="175" t="inlineStr">
        <is>
          <t>Factory-filled oil; quote output flange, torque arm and shafts separately || OFFERED: İ.Mak SP 40 i=15 (IEC B14/B5 input flange, hollow output) | Direct NMRV equivalent, i=15, hollow Ø18 | Options included in Unit Price: Output flange €4.55; Torque arm €5.85; Output shaft €5.20</t>
        </is>
      </c>
    </row>
    <row r="9">
      <c r="A9" s="138" t="inlineStr">
        <is>
          <t>GB-003</t>
        </is>
      </c>
      <c r="B9" s="147" t="inlineStr">
        <is>
          <t>Worm Gearbox</t>
        </is>
      </c>
      <c r="C9" s="147" t="inlineStr">
        <is>
          <t>NMRV</t>
        </is>
      </c>
      <c r="D9" s="147" t="inlineStr">
        <is>
          <t>040</t>
        </is>
      </c>
      <c r="E9" s="147" t="str"/>
      <c r="F9" s="147" t="inlineStr">
        <is>
          <t>1:20</t>
        </is>
      </c>
      <c r="G9" s="147" t="inlineStr">
        <is>
          <t>Universal</t>
        </is>
      </c>
      <c r="H9" s="147" t="inlineStr">
        <is>
          <t>Hollow shaft, keyed</t>
        </is>
      </c>
      <c r="I9" s="147" t="inlineStr">
        <is>
          <t>IEC motor adaptor/input</t>
        </is>
      </c>
      <c r="J9" s="173" t="n">
        <v>6</v>
      </c>
      <c r="K9" s="174" t="n">
        <v>83.84999999999999</v>
      </c>
      <c r="L9" s="174" t="n">
        <v>503.1</v>
      </c>
      <c r="M9" s="141" t="inlineStr">
        <is>
          <t>TBC</t>
        </is>
      </c>
      <c r="N9" s="175" t="inlineStr">
        <is>
          <t>Factory-filled oil; quote output flange, torque arm and shafts separately || OFFERED: İ.Mak SP 40 i=20 (IEC B14/B5 input flange, hollow output) | Direct NMRV equivalent, i=20, hollow Ø18 | Options included in Unit Price: Output flange €4.55; Torque arm €5.85; Output shaft €5.20</t>
        </is>
      </c>
    </row>
    <row r="10">
      <c r="A10" s="138" t="inlineStr">
        <is>
          <t>GB-004</t>
        </is>
      </c>
      <c r="B10" s="147" t="inlineStr">
        <is>
          <t>Worm Gearbox</t>
        </is>
      </c>
      <c r="C10" s="147" t="inlineStr">
        <is>
          <t>NMRV</t>
        </is>
      </c>
      <c r="D10" s="147" t="inlineStr">
        <is>
          <t>040</t>
        </is>
      </c>
      <c r="E10" s="147" t="str"/>
      <c r="F10" s="147" t="inlineStr">
        <is>
          <t>1:25</t>
        </is>
      </c>
      <c r="G10" s="147" t="inlineStr">
        <is>
          <t>Universal</t>
        </is>
      </c>
      <c r="H10" s="147" t="inlineStr">
        <is>
          <t>Hollow shaft, keyed</t>
        </is>
      </c>
      <c r="I10" s="147" t="inlineStr">
        <is>
          <t>IEC motor adaptor/input</t>
        </is>
      </c>
      <c r="J10" s="173" t="n">
        <v>4</v>
      </c>
      <c r="K10" s="174" t="n">
        <v>83.84999999999999</v>
      </c>
      <c r="L10" s="174" t="n">
        <v>335.4</v>
      </c>
      <c r="M10" s="141" t="inlineStr">
        <is>
          <t>TBC</t>
        </is>
      </c>
      <c r="N10" s="175" t="inlineStr">
        <is>
          <t>Factory-filled oil; quote output flange, torque arm and shafts separately || OFFERED: İ.Mak SP 40 i=25 (IEC B14/B5 input flange, hollow output) | Direct NMRV equivalent, i=25, hollow Ø18 | Options included in Unit Price: Output flange €4.55; Torque arm €5.85; Output shaft €5.20</t>
        </is>
      </c>
    </row>
    <row r="11">
      <c r="A11" s="138" t="inlineStr">
        <is>
          <t>GB-005</t>
        </is>
      </c>
      <c r="B11" s="147" t="inlineStr">
        <is>
          <t>Worm Gearbox</t>
        </is>
      </c>
      <c r="C11" s="147" t="inlineStr">
        <is>
          <t>NMRV</t>
        </is>
      </c>
      <c r="D11" s="147" t="inlineStr">
        <is>
          <t>040</t>
        </is>
      </c>
      <c r="E11" s="147" t="str"/>
      <c r="F11" s="147" t="inlineStr">
        <is>
          <t>1:30</t>
        </is>
      </c>
      <c r="G11" s="147" t="inlineStr">
        <is>
          <t>Universal</t>
        </is>
      </c>
      <c r="H11" s="147" t="inlineStr">
        <is>
          <t>Hollow shaft, keyed</t>
        </is>
      </c>
      <c r="I11" s="147" t="inlineStr">
        <is>
          <t>IEC motor adaptor/input</t>
        </is>
      </c>
      <c r="J11" s="173" t="n">
        <v>5</v>
      </c>
      <c r="K11" s="174" t="n">
        <v>83.84999999999999</v>
      </c>
      <c r="L11" s="174" t="n">
        <v>419.25</v>
      </c>
      <c r="M11" s="141" t="inlineStr">
        <is>
          <t>TBC</t>
        </is>
      </c>
      <c r="N11" s="175" t="inlineStr">
        <is>
          <t>Factory-filled oil; quote output flange, torque arm and shafts separately || OFFERED: İ.Mak SP 40 i=30 (IEC B14/B5 input flange, hollow output) | Direct NMRV equivalent, i=30, hollow Ø18 | Options included in Unit Price: Output flange €4.55; Torque arm €5.85; Output shaft €5.20</t>
        </is>
      </c>
    </row>
    <row r="12">
      <c r="A12" s="138" t="inlineStr">
        <is>
          <t>GB-006</t>
        </is>
      </c>
      <c r="B12" s="147" t="inlineStr">
        <is>
          <t>Worm Gearbox</t>
        </is>
      </c>
      <c r="C12" s="147" t="inlineStr">
        <is>
          <t>NMRV</t>
        </is>
      </c>
      <c r="D12" s="147" t="inlineStr">
        <is>
          <t>040</t>
        </is>
      </c>
      <c r="E12" s="147" t="str"/>
      <c r="F12" s="147" t="inlineStr">
        <is>
          <t>1:40</t>
        </is>
      </c>
      <c r="G12" s="147" t="inlineStr">
        <is>
          <t>Universal</t>
        </is>
      </c>
      <c r="H12" s="147" t="inlineStr">
        <is>
          <t>Hollow shaft, keyed</t>
        </is>
      </c>
      <c r="I12" s="147" t="inlineStr">
        <is>
          <t>IEC motor adaptor/input</t>
        </is>
      </c>
      <c r="J12" s="173" t="n">
        <v>4</v>
      </c>
      <c r="K12" s="174" t="n">
        <v>83.84999999999999</v>
      </c>
      <c r="L12" s="174" t="n">
        <v>335.4</v>
      </c>
      <c r="M12" s="141" t="inlineStr">
        <is>
          <t>TBC</t>
        </is>
      </c>
      <c r="N12" s="175" t="inlineStr">
        <is>
          <t>Factory-filled oil; quote output flange, torque arm and shafts separately || OFFERED: İ.Mak SP 40 i=40 (IEC B14/B5 input flange, hollow output) | Direct NMRV equivalent, i=40, hollow Ø18 | Options included in Unit Price: Output flange €4.55; Torque arm €5.85; Output shaft €5.20</t>
        </is>
      </c>
    </row>
    <row r="13">
      <c r="A13" s="138" t="inlineStr">
        <is>
          <t>GB-007</t>
        </is>
      </c>
      <c r="B13" s="147" t="inlineStr">
        <is>
          <t>Worm Gearbox</t>
        </is>
      </c>
      <c r="C13" s="147" t="inlineStr">
        <is>
          <t>NMRV</t>
        </is>
      </c>
      <c r="D13" s="147" t="inlineStr">
        <is>
          <t>040</t>
        </is>
      </c>
      <c r="E13" s="147" t="str"/>
      <c r="F13" s="147" t="inlineStr">
        <is>
          <t>1:50</t>
        </is>
      </c>
      <c r="G13" s="147" t="inlineStr">
        <is>
          <t>Universal</t>
        </is>
      </c>
      <c r="H13" s="147" t="inlineStr">
        <is>
          <t>Hollow shaft, keyed</t>
        </is>
      </c>
      <c r="I13" s="147" t="inlineStr">
        <is>
          <t>IEC motor adaptor/input</t>
        </is>
      </c>
      <c r="J13" s="173" t="n">
        <v>4</v>
      </c>
      <c r="K13" s="174" t="n">
        <v>83.84999999999999</v>
      </c>
      <c r="L13" s="174" t="n">
        <v>335.4</v>
      </c>
      <c r="M13" s="141" t="inlineStr">
        <is>
          <t>TBC</t>
        </is>
      </c>
      <c r="N13" s="175" t="inlineStr">
        <is>
          <t>Factory-filled oil; quote output flange, torque arm and shafts separately || OFFERED: İ.Mak SP 40 i=50 (IEC B14/B5 input flange, hollow output) | Direct NMRV equivalent, i=50, hollow Ø18 | Options included in Unit Price: Output flange €4.55; Torque arm €5.85; Output shaft €5.20</t>
        </is>
      </c>
    </row>
    <row r="14">
      <c r="A14" s="138" t="inlineStr">
        <is>
          <t>GB-008</t>
        </is>
      </c>
      <c r="B14" s="147" t="inlineStr">
        <is>
          <t>Worm Gearbox</t>
        </is>
      </c>
      <c r="C14" s="147" t="inlineStr">
        <is>
          <t>NMRV</t>
        </is>
      </c>
      <c r="D14" s="147" t="inlineStr">
        <is>
          <t>040</t>
        </is>
      </c>
      <c r="E14" s="147" t="str"/>
      <c r="F14" s="147" t="inlineStr">
        <is>
          <t>1:60</t>
        </is>
      </c>
      <c r="G14" s="147" t="inlineStr">
        <is>
          <t>Universal</t>
        </is>
      </c>
      <c r="H14" s="147" t="inlineStr">
        <is>
          <t>Hollow shaft, keyed</t>
        </is>
      </c>
      <c r="I14" s="147" t="inlineStr">
        <is>
          <t>IEC motor adaptor/input</t>
        </is>
      </c>
      <c r="J14" s="173" t="n">
        <v>2</v>
      </c>
      <c r="K14" s="174" t="n">
        <v>83.84999999999999</v>
      </c>
      <c r="L14" s="174" t="n">
        <v>167.7</v>
      </c>
      <c r="M14" s="141" t="inlineStr">
        <is>
          <t>TBC</t>
        </is>
      </c>
      <c r="N14" s="175" t="inlineStr">
        <is>
          <t>Factory-filled oil; quote output flange, torque arm and shafts separately || OFFERED: İ.Mak SP 40 i=60 (IEC B14/B5 input flange, hollow output) | Direct NMRV equivalent, i=60, hollow Ø18 | Options included in Unit Price: Output flange €4.55; Torque arm €5.85; Output shaft €5.20</t>
        </is>
      </c>
    </row>
    <row r="15">
      <c r="A15" s="138" t="inlineStr">
        <is>
          <t>GB-009</t>
        </is>
      </c>
      <c r="B15" s="147" t="inlineStr">
        <is>
          <t>Worm Gearbox</t>
        </is>
      </c>
      <c r="C15" s="147" t="inlineStr">
        <is>
          <t>NMRV</t>
        </is>
      </c>
      <c r="D15" s="147" t="inlineStr">
        <is>
          <t>050</t>
        </is>
      </c>
      <c r="E15" s="147" t="str"/>
      <c r="F15" s="147" t="inlineStr">
        <is>
          <t>1:10</t>
        </is>
      </c>
      <c r="G15" s="147" t="inlineStr">
        <is>
          <t>Universal</t>
        </is>
      </c>
      <c r="H15" s="147" t="inlineStr">
        <is>
          <t>Hollow shaft, keyed</t>
        </is>
      </c>
      <c r="I15" s="147" t="inlineStr">
        <is>
          <t>IEC motor adaptor/input</t>
        </is>
      </c>
      <c r="J15" s="173" t="n">
        <v>6</v>
      </c>
      <c r="K15" s="174" t="n">
        <v>102.05</v>
      </c>
      <c r="L15" s="174" t="n">
        <v>612.3</v>
      </c>
      <c r="M15" s="141" t="inlineStr">
        <is>
          <t>TBC</t>
        </is>
      </c>
      <c r="N15" s="175" t="inlineStr">
        <is>
          <t>Factory-filled oil; quote output flange, torque arm and shafts separately || OFFERED: İ.Mak SP 50 i=10 (IEC B14/B5 input flange, hollow output) | Direct NMRV equivalent, i=10, hollow Ø25 | Options included in Unit Price: Output flange €5.20; Torque arm €7.15; Output shaft €5.85</t>
        </is>
      </c>
    </row>
    <row r="16">
      <c r="A16" s="138" t="inlineStr">
        <is>
          <t>GB-010</t>
        </is>
      </c>
      <c r="B16" s="147" t="inlineStr">
        <is>
          <t>Worm Gearbox</t>
        </is>
      </c>
      <c r="C16" s="147" t="inlineStr">
        <is>
          <t>NMRV</t>
        </is>
      </c>
      <c r="D16" s="147" t="inlineStr">
        <is>
          <t>050</t>
        </is>
      </c>
      <c r="E16" s="147" t="str"/>
      <c r="F16" s="147" t="inlineStr">
        <is>
          <t>1:15</t>
        </is>
      </c>
      <c r="G16" s="147" t="inlineStr">
        <is>
          <t>Universal</t>
        </is>
      </c>
      <c r="H16" s="147" t="inlineStr">
        <is>
          <t>Hollow shaft, keyed</t>
        </is>
      </c>
      <c r="I16" s="147" t="inlineStr">
        <is>
          <t>IEC motor adaptor/input</t>
        </is>
      </c>
      <c r="J16" s="173" t="n">
        <v>5</v>
      </c>
      <c r="K16" s="174" t="n">
        <v>102.05</v>
      </c>
      <c r="L16" s="174" t="n">
        <v>510.25</v>
      </c>
      <c r="M16" s="141" t="inlineStr">
        <is>
          <t>TBC</t>
        </is>
      </c>
      <c r="N16" s="175" t="inlineStr">
        <is>
          <t>Factory-filled oil; quote output flange, torque arm and shafts separately || OFFERED: İ.Mak SP 50 i=15 (IEC B14/B5 input flange, hollow output) | Direct NMRV equivalent, i=15, hollow Ø25 | Options included in Unit Price: Output flange €5.20; Torque arm €7.15; Output shaft €5.85</t>
        </is>
      </c>
    </row>
    <row r="17">
      <c r="A17" s="138" t="inlineStr">
        <is>
          <t>GB-011</t>
        </is>
      </c>
      <c r="B17" s="147" t="inlineStr">
        <is>
          <t>Worm Gearbox</t>
        </is>
      </c>
      <c r="C17" s="147" t="inlineStr">
        <is>
          <t>NMRV</t>
        </is>
      </c>
      <c r="D17" s="147" t="inlineStr">
        <is>
          <t>050</t>
        </is>
      </c>
      <c r="E17" s="147" t="str"/>
      <c r="F17" s="147" t="inlineStr">
        <is>
          <t>1:20</t>
        </is>
      </c>
      <c r="G17" s="147" t="inlineStr">
        <is>
          <t>Universal</t>
        </is>
      </c>
      <c r="H17" s="147" t="inlineStr">
        <is>
          <t>Hollow shaft, keyed</t>
        </is>
      </c>
      <c r="I17" s="147" t="inlineStr">
        <is>
          <t>IEC motor adaptor/input</t>
        </is>
      </c>
      <c r="J17" s="173" t="n">
        <v>6</v>
      </c>
      <c r="K17" s="174" t="n">
        <v>102.05</v>
      </c>
      <c r="L17" s="174" t="n">
        <v>612.3</v>
      </c>
      <c r="M17" s="141" t="inlineStr">
        <is>
          <t>TBC</t>
        </is>
      </c>
      <c r="N17" s="175" t="inlineStr">
        <is>
          <t>Factory-filled oil; quote output flange, torque arm and shafts separately || OFFERED: İ.Mak SP 50 i=20 (IEC B14/B5 input flange, hollow output) | Direct NMRV equivalent, i=20, hollow Ø25 | Options included in Unit Price: Output flange €5.20; Torque arm €7.15; Output shaft €5.85</t>
        </is>
      </c>
    </row>
    <row r="18">
      <c r="A18" s="138" t="inlineStr">
        <is>
          <t>GB-012</t>
        </is>
      </c>
      <c r="B18" s="147" t="inlineStr">
        <is>
          <t>Worm Gearbox</t>
        </is>
      </c>
      <c r="C18" s="147" t="inlineStr">
        <is>
          <t>NMRV</t>
        </is>
      </c>
      <c r="D18" s="147" t="inlineStr">
        <is>
          <t>050</t>
        </is>
      </c>
      <c r="E18" s="147" t="str"/>
      <c r="F18" s="147" t="inlineStr">
        <is>
          <t>1:25</t>
        </is>
      </c>
      <c r="G18" s="147" t="inlineStr">
        <is>
          <t>Universal</t>
        </is>
      </c>
      <c r="H18" s="147" t="inlineStr">
        <is>
          <t>Hollow shaft, keyed</t>
        </is>
      </c>
      <c r="I18" s="147" t="inlineStr">
        <is>
          <t>IEC motor adaptor/input</t>
        </is>
      </c>
      <c r="J18" s="173" t="n">
        <v>4</v>
      </c>
      <c r="K18" s="174" t="n">
        <v>102.05</v>
      </c>
      <c r="L18" s="174" t="n">
        <v>408.2</v>
      </c>
      <c r="M18" s="141" t="inlineStr">
        <is>
          <t>TBC</t>
        </is>
      </c>
      <c r="N18" s="175" t="inlineStr">
        <is>
          <t>Factory-filled oil; quote output flange, torque arm and shafts separately || OFFERED: İ.Mak SP 50 i=25 (IEC B14/B5 input flange, hollow output) | Direct NMRV equivalent, i=25, hollow Ø25 | Options included in Unit Price: Output flange €5.20; Torque arm €7.15; Output shaft €5.85</t>
        </is>
      </c>
    </row>
    <row r="19">
      <c r="A19" s="138" t="inlineStr">
        <is>
          <t>GB-013</t>
        </is>
      </c>
      <c r="B19" s="147" t="inlineStr">
        <is>
          <t>Worm Gearbox</t>
        </is>
      </c>
      <c r="C19" s="147" t="inlineStr">
        <is>
          <t>NMRV</t>
        </is>
      </c>
      <c r="D19" s="147" t="inlineStr">
        <is>
          <t>050</t>
        </is>
      </c>
      <c r="E19" s="147" t="str"/>
      <c r="F19" s="147" t="inlineStr">
        <is>
          <t>1:30</t>
        </is>
      </c>
      <c r="G19" s="147" t="inlineStr">
        <is>
          <t>Universal</t>
        </is>
      </c>
      <c r="H19" s="147" t="inlineStr">
        <is>
          <t>Hollow shaft, keyed</t>
        </is>
      </c>
      <c r="I19" s="147" t="inlineStr">
        <is>
          <t>IEC motor adaptor/input</t>
        </is>
      </c>
      <c r="J19" s="173" t="n">
        <v>5</v>
      </c>
      <c r="K19" s="174" t="n">
        <v>102.05</v>
      </c>
      <c r="L19" s="174" t="n">
        <v>510.25</v>
      </c>
      <c r="M19" s="141" t="inlineStr">
        <is>
          <t>TBC</t>
        </is>
      </c>
      <c r="N19" s="175" t="inlineStr">
        <is>
          <t>Factory-filled oil; quote output flange, torque arm and shafts separately || OFFERED: İ.Mak SP 50 i=30 (IEC B14/B5 input flange, hollow output) | Direct NMRV equivalent, i=30, hollow Ø25 | Options included in Unit Price: Output flange €5.20; Torque arm €7.15; Output shaft €5.85</t>
        </is>
      </c>
    </row>
    <row r="20">
      <c r="A20" s="138" t="inlineStr">
        <is>
          <t>GB-014</t>
        </is>
      </c>
      <c r="B20" s="147" t="inlineStr">
        <is>
          <t>Worm Gearbox</t>
        </is>
      </c>
      <c r="C20" s="147" t="inlineStr">
        <is>
          <t>NMRV</t>
        </is>
      </c>
      <c r="D20" s="147" t="inlineStr">
        <is>
          <t>050</t>
        </is>
      </c>
      <c r="E20" s="147" t="str"/>
      <c r="F20" s="147" t="inlineStr">
        <is>
          <t>1:40</t>
        </is>
      </c>
      <c r="G20" s="147" t="inlineStr">
        <is>
          <t>Universal</t>
        </is>
      </c>
      <c r="H20" s="147" t="inlineStr">
        <is>
          <t>Hollow shaft, keyed</t>
        </is>
      </c>
      <c r="I20" s="147" t="inlineStr">
        <is>
          <t>IEC motor adaptor/input</t>
        </is>
      </c>
      <c r="J20" s="173" t="n">
        <v>4</v>
      </c>
      <c r="K20" s="174" t="n">
        <v>102.05</v>
      </c>
      <c r="L20" s="174" t="n">
        <v>408.2</v>
      </c>
      <c r="M20" s="141" t="inlineStr">
        <is>
          <t>TBC</t>
        </is>
      </c>
      <c r="N20" s="175" t="inlineStr">
        <is>
          <t>Factory-filled oil; quote output flange, torque arm and shafts separately || OFFERED: İ.Mak SP 50 i=40 (IEC B14/B5 input flange, hollow output) | Direct NMRV equivalent, i=40, hollow Ø25 | Options included in Unit Price: Output flange €5.20; Torque arm €7.15; Output shaft €5.85</t>
        </is>
      </c>
    </row>
    <row r="21">
      <c r="A21" s="138" t="inlineStr">
        <is>
          <t>GB-015</t>
        </is>
      </c>
      <c r="B21" s="147" t="inlineStr">
        <is>
          <t>Worm Gearbox</t>
        </is>
      </c>
      <c r="C21" s="147" t="inlineStr">
        <is>
          <t>NMRV</t>
        </is>
      </c>
      <c r="D21" s="147" t="inlineStr">
        <is>
          <t>050</t>
        </is>
      </c>
      <c r="E21" s="147" t="str"/>
      <c r="F21" s="147" t="inlineStr">
        <is>
          <t>1:50</t>
        </is>
      </c>
      <c r="G21" s="147" t="inlineStr">
        <is>
          <t>Universal</t>
        </is>
      </c>
      <c r="H21" s="147" t="inlineStr">
        <is>
          <t>Hollow shaft, keyed</t>
        </is>
      </c>
      <c r="I21" s="147" t="inlineStr">
        <is>
          <t>IEC motor adaptor/input</t>
        </is>
      </c>
      <c r="J21" s="173" t="n">
        <v>4</v>
      </c>
      <c r="K21" s="174" t="n">
        <v>102.05</v>
      </c>
      <c r="L21" s="174" t="n">
        <v>408.2</v>
      </c>
      <c r="M21" s="141" t="inlineStr">
        <is>
          <t>TBC</t>
        </is>
      </c>
      <c r="N21" s="175" t="inlineStr">
        <is>
          <t>Factory-filled oil; quote output flange, torque arm and shafts separately || OFFERED: İ.Mak SP 50 i=50 (IEC B14/B5 input flange, hollow output) | Direct NMRV equivalent, i=50, hollow Ø25 | Options included in Unit Price: Output flange €5.20; Torque arm €7.15; Output shaft €5.85</t>
        </is>
      </c>
    </row>
    <row r="22">
      <c r="A22" s="138" t="inlineStr">
        <is>
          <t>GB-016</t>
        </is>
      </c>
      <c r="B22" s="147" t="inlineStr">
        <is>
          <t>Worm Gearbox</t>
        </is>
      </c>
      <c r="C22" s="147" t="inlineStr">
        <is>
          <t>NMRV</t>
        </is>
      </c>
      <c r="D22" s="147" t="inlineStr">
        <is>
          <t>050</t>
        </is>
      </c>
      <c r="E22" s="147" t="str"/>
      <c r="F22" s="147" t="inlineStr">
        <is>
          <t>1:60</t>
        </is>
      </c>
      <c r="G22" s="147" t="inlineStr">
        <is>
          <t>Universal</t>
        </is>
      </c>
      <c r="H22" s="147" t="inlineStr">
        <is>
          <t>Hollow shaft, keyed</t>
        </is>
      </c>
      <c r="I22" s="147" t="inlineStr">
        <is>
          <t>IEC motor adaptor/input</t>
        </is>
      </c>
      <c r="J22" s="173" t="n">
        <v>2</v>
      </c>
      <c r="K22" s="174" t="n">
        <v>102.05</v>
      </c>
      <c r="L22" s="174" t="n">
        <v>204.1</v>
      </c>
      <c r="M22" s="141" t="inlineStr">
        <is>
          <t>TBC</t>
        </is>
      </c>
      <c r="N22" s="175" t="inlineStr">
        <is>
          <t>Factory-filled oil; quote output flange, torque arm and shafts separately || OFFERED: İ.Mak SP 50 i=60 (IEC B14/B5 input flange, hollow output) | Direct NMRV equivalent, i=60, hollow Ø25 | Options included in Unit Price: Output flange €5.20; Torque arm €7.15; Output shaft €5.85</t>
        </is>
      </c>
    </row>
    <row r="23">
      <c r="A23" s="138" t="inlineStr">
        <is>
          <t>GB-017</t>
        </is>
      </c>
      <c r="B23" s="147" t="inlineStr">
        <is>
          <t>Worm Gearbox</t>
        </is>
      </c>
      <c r="C23" s="147" t="inlineStr">
        <is>
          <t>NMRV</t>
        </is>
      </c>
      <c r="D23" s="147" t="inlineStr">
        <is>
          <t>063</t>
        </is>
      </c>
      <c r="E23" s="147" t="str"/>
      <c r="F23" s="147" t="inlineStr">
        <is>
          <t>1:10</t>
        </is>
      </c>
      <c r="G23" s="147" t="inlineStr">
        <is>
          <t>Universal</t>
        </is>
      </c>
      <c r="H23" s="147" t="inlineStr">
        <is>
          <t>Hollow shaft, keyed</t>
        </is>
      </c>
      <c r="I23" s="147" t="inlineStr">
        <is>
          <t>IEC motor adaptor/input</t>
        </is>
      </c>
      <c r="J23" s="173" t="n">
        <v>5</v>
      </c>
      <c r="K23" s="174" t="n">
        <v>137.15</v>
      </c>
      <c r="L23" s="174" t="n">
        <v>685.75</v>
      </c>
      <c r="M23" s="141" t="inlineStr">
        <is>
          <t>TBC</t>
        </is>
      </c>
      <c r="N23" s="175" t="inlineStr">
        <is>
          <t>Factory-filled oil; quote output flange, torque arm and shafts separately || OFFERED: İ.Mak SP 63 i=10 (IEC B14/B5 input flange, hollow output) | Direct NMRV equivalent, i=10, hollow Ø25 | Options included in Unit Price: Output flange €6.50; Torque arm €9.75; Output shaft €7.15</t>
        </is>
      </c>
    </row>
    <row r="24">
      <c r="A24" s="138" t="inlineStr">
        <is>
          <t>GB-018</t>
        </is>
      </c>
      <c r="B24" s="147" t="inlineStr">
        <is>
          <t>Worm Gearbox</t>
        </is>
      </c>
      <c r="C24" s="147" t="inlineStr">
        <is>
          <t>NMRV</t>
        </is>
      </c>
      <c r="D24" s="147" t="inlineStr">
        <is>
          <t>063</t>
        </is>
      </c>
      <c r="E24" s="147" t="str"/>
      <c r="F24" s="147" t="inlineStr">
        <is>
          <t>1:15</t>
        </is>
      </c>
      <c r="G24" s="147" t="inlineStr">
        <is>
          <t>Universal</t>
        </is>
      </c>
      <c r="H24" s="147" t="inlineStr">
        <is>
          <t>Hollow shaft, keyed</t>
        </is>
      </c>
      <c r="I24" s="147" t="inlineStr">
        <is>
          <t>IEC motor adaptor/input</t>
        </is>
      </c>
      <c r="J24" s="173" t="n">
        <v>4</v>
      </c>
      <c r="K24" s="174" t="n">
        <v>137.15</v>
      </c>
      <c r="L24" s="174" t="n">
        <v>548.6</v>
      </c>
      <c r="M24" s="141" t="inlineStr">
        <is>
          <t>TBC</t>
        </is>
      </c>
      <c r="N24" s="175" t="inlineStr">
        <is>
          <t>Factory-filled oil; quote output flange, torque arm and shafts separately || OFFERED: İ.Mak SP 63 i=15 (IEC B14/B5 input flange, hollow output) | Direct NMRV equivalent, i=15, hollow Ø25 | Options included in Unit Price: Output flange €6.50; Torque arm €9.75; Output shaft €7.15</t>
        </is>
      </c>
    </row>
    <row r="25">
      <c r="A25" s="138" t="inlineStr">
        <is>
          <t>GB-019</t>
        </is>
      </c>
      <c r="B25" s="147" t="inlineStr">
        <is>
          <t>Worm Gearbox</t>
        </is>
      </c>
      <c r="C25" s="147" t="inlineStr">
        <is>
          <t>NMRV</t>
        </is>
      </c>
      <c r="D25" s="147" t="inlineStr">
        <is>
          <t>063</t>
        </is>
      </c>
      <c r="E25" s="147" t="str"/>
      <c r="F25" s="147" t="inlineStr">
        <is>
          <t>1:20</t>
        </is>
      </c>
      <c r="G25" s="147" t="inlineStr">
        <is>
          <t>Universal</t>
        </is>
      </c>
      <c r="H25" s="147" t="inlineStr">
        <is>
          <t>Hollow shaft, keyed</t>
        </is>
      </c>
      <c r="I25" s="147" t="inlineStr">
        <is>
          <t>IEC motor adaptor/input</t>
        </is>
      </c>
      <c r="J25" s="173" t="n">
        <v>5</v>
      </c>
      <c r="K25" s="174" t="n">
        <v>137.15</v>
      </c>
      <c r="L25" s="174" t="n">
        <v>685.75</v>
      </c>
      <c r="M25" s="141" t="inlineStr">
        <is>
          <t>TBC</t>
        </is>
      </c>
      <c r="N25" s="175" t="inlineStr">
        <is>
          <t>Factory-filled oil; quote output flange, torque arm and shafts separately || OFFERED: İ.Mak SP 63 i=20 (IEC B14/B5 input flange, hollow output) | Direct NMRV equivalent, i=20, hollow Ø25 | Options included in Unit Price: Output flange €6.50; Torque arm €9.75; Output shaft €7.15</t>
        </is>
      </c>
    </row>
    <row r="26">
      <c r="A26" s="138" t="inlineStr">
        <is>
          <t>GB-020</t>
        </is>
      </c>
      <c r="B26" s="147" t="inlineStr">
        <is>
          <t>Worm Gearbox</t>
        </is>
      </c>
      <c r="C26" s="147" t="inlineStr">
        <is>
          <t>NMRV</t>
        </is>
      </c>
      <c r="D26" s="147" t="inlineStr">
        <is>
          <t>063</t>
        </is>
      </c>
      <c r="E26" s="147" t="str"/>
      <c r="F26" s="147" t="inlineStr">
        <is>
          <t>1:25</t>
        </is>
      </c>
      <c r="G26" s="147" t="inlineStr">
        <is>
          <t>Universal</t>
        </is>
      </c>
      <c r="H26" s="147" t="inlineStr">
        <is>
          <t>Hollow shaft, keyed</t>
        </is>
      </c>
      <c r="I26" s="147" t="inlineStr">
        <is>
          <t>IEC motor adaptor/input</t>
        </is>
      </c>
      <c r="J26" s="173" t="n">
        <v>3</v>
      </c>
      <c r="K26" s="174" t="n">
        <v>137.15</v>
      </c>
      <c r="L26" s="174" t="n">
        <v>411.45</v>
      </c>
      <c r="M26" s="141" t="inlineStr">
        <is>
          <t>TBC</t>
        </is>
      </c>
      <c r="N26" s="175" t="inlineStr">
        <is>
          <t>Factory-filled oil; quote output flange, torque arm and shafts separately || OFFERED: İ.Mak SP 63 i=25 (IEC B14/B5 input flange, hollow output) | Direct NMRV equivalent, i=25, hollow Ø25 | Options included in Unit Price: Output flange €6.50; Torque arm €9.75; Output shaft €7.15</t>
        </is>
      </c>
    </row>
    <row r="27">
      <c r="A27" s="138" t="inlineStr">
        <is>
          <t>GB-021</t>
        </is>
      </c>
      <c r="B27" s="147" t="inlineStr">
        <is>
          <t>Worm Gearbox</t>
        </is>
      </c>
      <c r="C27" s="147" t="inlineStr">
        <is>
          <t>NMRV</t>
        </is>
      </c>
      <c r="D27" s="147" t="inlineStr">
        <is>
          <t>063</t>
        </is>
      </c>
      <c r="E27" s="147" t="str"/>
      <c r="F27" s="147" t="inlineStr">
        <is>
          <t>1:30</t>
        </is>
      </c>
      <c r="G27" s="147" t="inlineStr">
        <is>
          <t>Universal</t>
        </is>
      </c>
      <c r="H27" s="147" t="inlineStr">
        <is>
          <t>Hollow shaft, keyed</t>
        </is>
      </c>
      <c r="I27" s="147" t="inlineStr">
        <is>
          <t>IEC motor adaptor/input</t>
        </is>
      </c>
      <c r="J27" s="173" t="n">
        <v>4</v>
      </c>
      <c r="K27" s="174" t="n">
        <v>137.15</v>
      </c>
      <c r="L27" s="174" t="n">
        <v>548.6</v>
      </c>
      <c r="M27" s="141" t="inlineStr">
        <is>
          <t>TBC</t>
        </is>
      </c>
      <c r="N27" s="175" t="inlineStr">
        <is>
          <t>Factory-filled oil; quote output flange, torque arm and shafts separately || OFFERED: İ.Mak SP 63 i=30 (IEC B14/B5 input flange, hollow output) | Direct NMRV equivalent, i=30, hollow Ø25 | Options included in Unit Price: Output flange €6.50; Torque arm €9.75; Output shaft €7.15</t>
        </is>
      </c>
    </row>
    <row r="28">
      <c r="A28" s="138" t="inlineStr">
        <is>
          <t>GB-022</t>
        </is>
      </c>
      <c r="B28" s="147" t="inlineStr">
        <is>
          <t>Worm Gearbox</t>
        </is>
      </c>
      <c r="C28" s="147" t="inlineStr">
        <is>
          <t>NMRV</t>
        </is>
      </c>
      <c r="D28" s="147" t="inlineStr">
        <is>
          <t>063</t>
        </is>
      </c>
      <c r="E28" s="147" t="str"/>
      <c r="F28" s="147" t="inlineStr">
        <is>
          <t>1:40</t>
        </is>
      </c>
      <c r="G28" s="147" t="inlineStr">
        <is>
          <t>Universal</t>
        </is>
      </c>
      <c r="H28" s="147" t="inlineStr">
        <is>
          <t>Hollow shaft, keyed</t>
        </is>
      </c>
      <c r="I28" s="147" t="inlineStr">
        <is>
          <t>IEC motor adaptor/input</t>
        </is>
      </c>
      <c r="J28" s="173" t="n">
        <v>4</v>
      </c>
      <c r="K28" s="174" t="n">
        <v>137.15</v>
      </c>
      <c r="L28" s="174" t="n">
        <v>548.6</v>
      </c>
      <c r="M28" s="141" t="inlineStr">
        <is>
          <t>TBC</t>
        </is>
      </c>
      <c r="N28" s="175" t="inlineStr">
        <is>
          <t>Factory-filled oil; quote output flange, torque arm and shafts separately || OFFERED: İ.Mak SP 63 i=40 (IEC B14/B5 input flange, hollow output) | Direct NMRV equivalent, i=40, hollow Ø25 | Options included in Unit Price: Output flange €6.50; Torque arm €9.75; Output shaft €7.15</t>
        </is>
      </c>
    </row>
    <row r="29">
      <c r="A29" s="138" t="inlineStr">
        <is>
          <t>GB-023</t>
        </is>
      </c>
      <c r="B29" s="147" t="inlineStr">
        <is>
          <t>Worm Gearbox</t>
        </is>
      </c>
      <c r="C29" s="147" t="inlineStr">
        <is>
          <t>NMRV</t>
        </is>
      </c>
      <c r="D29" s="147" t="inlineStr">
        <is>
          <t>063</t>
        </is>
      </c>
      <c r="E29" s="147" t="str"/>
      <c r="F29" s="147" t="inlineStr">
        <is>
          <t>1:50</t>
        </is>
      </c>
      <c r="G29" s="147" t="inlineStr">
        <is>
          <t>Universal</t>
        </is>
      </c>
      <c r="H29" s="147" t="inlineStr">
        <is>
          <t>Hollow shaft, keyed</t>
        </is>
      </c>
      <c r="I29" s="147" t="inlineStr">
        <is>
          <t>IEC motor adaptor/input</t>
        </is>
      </c>
      <c r="J29" s="173" t="n">
        <v>3</v>
      </c>
      <c r="K29" s="174" t="n">
        <v>137.15</v>
      </c>
      <c r="L29" s="174" t="n">
        <v>411.45</v>
      </c>
      <c r="M29" s="141" t="inlineStr">
        <is>
          <t>TBC</t>
        </is>
      </c>
      <c r="N29" s="175" t="inlineStr">
        <is>
          <t>Factory-filled oil; quote output flange, torque arm and shafts separately || OFFERED: İ.Mak SP 63 i=50 (IEC B14/B5 input flange, hollow output) | Direct NMRV equivalent, i=50, hollow Ø25 | Options included in Unit Price: Output flange €6.50; Torque arm €9.75; Output shaft €7.15</t>
        </is>
      </c>
    </row>
    <row r="30">
      <c r="A30" s="138" t="inlineStr">
        <is>
          <t>GB-024</t>
        </is>
      </c>
      <c r="B30" s="147" t="inlineStr">
        <is>
          <t>Worm Gearbox</t>
        </is>
      </c>
      <c r="C30" s="147" t="inlineStr">
        <is>
          <t>NMRV</t>
        </is>
      </c>
      <c r="D30" s="147" t="inlineStr">
        <is>
          <t>063</t>
        </is>
      </c>
      <c r="E30" s="147" t="str"/>
      <c r="F30" s="147" t="inlineStr">
        <is>
          <t>1:60</t>
        </is>
      </c>
      <c r="G30" s="147" t="inlineStr">
        <is>
          <t>Universal</t>
        </is>
      </c>
      <c r="H30" s="147" t="inlineStr">
        <is>
          <t>Hollow shaft, keyed</t>
        </is>
      </c>
      <c r="I30" s="147" t="inlineStr">
        <is>
          <t>IEC motor adaptor/input</t>
        </is>
      </c>
      <c r="J30" s="173" t="n">
        <v>2</v>
      </c>
      <c r="K30" s="174" t="n">
        <v>137.15</v>
      </c>
      <c r="L30" s="174" t="n">
        <v>274.3</v>
      </c>
      <c r="M30" s="141" t="inlineStr">
        <is>
          <t>TBC</t>
        </is>
      </c>
      <c r="N30" s="175" t="inlineStr">
        <is>
          <t>Factory-filled oil; quote output flange, torque arm and shafts separately || OFFERED: İ.Mak SP 63 i=60 (IEC B14/B5 input flange, hollow output) | Direct NMRV equivalent, i=60, hollow Ø25 | Options included in Unit Price: Output flange €6.50; Torque arm €9.75; Output shaft €7.15</t>
        </is>
      </c>
    </row>
    <row r="31">
      <c r="A31" s="138" t="inlineStr">
        <is>
          <t>GB-025</t>
        </is>
      </c>
      <c r="B31" s="147" t="inlineStr">
        <is>
          <t>Worm Gearbox</t>
        </is>
      </c>
      <c r="C31" s="147" t="inlineStr">
        <is>
          <t>NMRV</t>
        </is>
      </c>
      <c r="D31" s="147" t="inlineStr">
        <is>
          <t>075</t>
        </is>
      </c>
      <c r="E31" s="147" t="str"/>
      <c r="F31" s="147" t="inlineStr">
        <is>
          <t>1:10</t>
        </is>
      </c>
      <c r="G31" s="147" t="inlineStr">
        <is>
          <t>Universal</t>
        </is>
      </c>
      <c r="H31" s="147" t="inlineStr">
        <is>
          <t>Hollow shaft, keyed</t>
        </is>
      </c>
      <c r="I31" s="147" t="inlineStr">
        <is>
          <t>IEC motor adaptor/input</t>
        </is>
      </c>
      <c r="J31" s="173" t="n">
        <v>4</v>
      </c>
      <c r="K31" s="174" t="n">
        <v>180.05</v>
      </c>
      <c r="L31" s="174" t="n">
        <v>720.2</v>
      </c>
      <c r="M31" s="141" t="inlineStr">
        <is>
          <t>TBC</t>
        </is>
      </c>
      <c r="N31" s="175" t="inlineStr">
        <is>
          <t>Factory-filled oil; quote output flange, torque arm and shafts separately || OFFERED: İ.Mak SP 75 i=10 (IEC B14/B5 input flange, hollow output) | Direct NMRV equivalent, i=10, hollow Ø28 | Options included in Unit Price: Output flange €9.75; Torque arm €16.25; Output shaft €9.75</t>
        </is>
      </c>
    </row>
    <row r="32">
      <c r="A32" s="138" t="inlineStr">
        <is>
          <t>GB-026</t>
        </is>
      </c>
      <c r="B32" s="147" t="inlineStr">
        <is>
          <t>Worm Gearbox</t>
        </is>
      </c>
      <c r="C32" s="147" t="inlineStr">
        <is>
          <t>NMRV</t>
        </is>
      </c>
      <c r="D32" s="147" t="inlineStr">
        <is>
          <t>075</t>
        </is>
      </c>
      <c r="E32" s="147" t="str"/>
      <c r="F32" s="147" t="inlineStr">
        <is>
          <t>1:15</t>
        </is>
      </c>
      <c r="G32" s="147" t="inlineStr">
        <is>
          <t>Universal</t>
        </is>
      </c>
      <c r="H32" s="147" t="inlineStr">
        <is>
          <t>Hollow shaft, keyed</t>
        </is>
      </c>
      <c r="I32" s="147" t="inlineStr">
        <is>
          <t>IEC motor adaptor/input</t>
        </is>
      </c>
      <c r="J32" s="173" t="n">
        <v>3</v>
      </c>
      <c r="K32" s="174" t="n">
        <v>180.05</v>
      </c>
      <c r="L32" s="174" t="n">
        <v>540.15</v>
      </c>
      <c r="M32" s="141" t="inlineStr">
        <is>
          <t>TBC</t>
        </is>
      </c>
      <c r="N32" s="175" t="inlineStr">
        <is>
          <t>Factory-filled oil; quote output flange, torque arm and shafts separately || OFFERED: İ.Mak SP 75 i=15 (IEC B14/B5 input flange, hollow output) | Direct NMRV equivalent, i=15, hollow Ø28 | Options included in Unit Price: Output flange €9.75; Torque arm €16.25; Output shaft €9.75</t>
        </is>
      </c>
    </row>
    <row r="33">
      <c r="A33" s="138" t="inlineStr">
        <is>
          <t>GB-027</t>
        </is>
      </c>
      <c r="B33" s="147" t="inlineStr">
        <is>
          <t>Worm Gearbox</t>
        </is>
      </c>
      <c r="C33" s="147" t="inlineStr">
        <is>
          <t>NMRV</t>
        </is>
      </c>
      <c r="D33" s="147" t="inlineStr">
        <is>
          <t>075</t>
        </is>
      </c>
      <c r="E33" s="147" t="str"/>
      <c r="F33" s="147" t="inlineStr">
        <is>
          <t>1:20</t>
        </is>
      </c>
      <c r="G33" s="147" t="inlineStr">
        <is>
          <t>Universal</t>
        </is>
      </c>
      <c r="H33" s="147" t="inlineStr">
        <is>
          <t>Hollow shaft, keyed</t>
        </is>
      </c>
      <c r="I33" s="147" t="inlineStr">
        <is>
          <t>IEC motor adaptor/input</t>
        </is>
      </c>
      <c r="J33" s="173" t="n">
        <v>4</v>
      </c>
      <c r="K33" s="174" t="n">
        <v>180.05</v>
      </c>
      <c r="L33" s="174" t="n">
        <v>720.2</v>
      </c>
      <c r="M33" s="141" t="inlineStr">
        <is>
          <t>TBC</t>
        </is>
      </c>
      <c r="N33" s="175" t="inlineStr">
        <is>
          <t>Factory-filled oil; quote output flange, torque arm and shafts separately || OFFERED: İ.Mak SP 75 i=20 (IEC B14/B5 input flange, hollow output) | Direct NMRV equivalent, i=20, hollow Ø28 | Options included in Unit Price: Output flange €9.75; Torque arm €16.25; Output shaft €9.75</t>
        </is>
      </c>
    </row>
    <row r="34">
      <c r="A34" s="138" t="inlineStr">
        <is>
          <t>GB-028</t>
        </is>
      </c>
      <c r="B34" s="147" t="inlineStr">
        <is>
          <t>Worm Gearbox</t>
        </is>
      </c>
      <c r="C34" s="147" t="inlineStr">
        <is>
          <t>NMRV</t>
        </is>
      </c>
      <c r="D34" s="147" t="inlineStr">
        <is>
          <t>075</t>
        </is>
      </c>
      <c r="E34" s="147" t="str"/>
      <c r="F34" s="147" t="inlineStr">
        <is>
          <t>1:25</t>
        </is>
      </c>
      <c r="G34" s="147" t="inlineStr">
        <is>
          <t>Universal</t>
        </is>
      </c>
      <c r="H34" s="147" t="inlineStr">
        <is>
          <t>Hollow shaft, keyed</t>
        </is>
      </c>
      <c r="I34" s="147" t="inlineStr">
        <is>
          <t>IEC motor adaptor/input</t>
        </is>
      </c>
      <c r="J34" s="173" t="n">
        <v>2</v>
      </c>
      <c r="K34" s="174" t="n">
        <v>180.05</v>
      </c>
      <c r="L34" s="174" t="n">
        <v>360.1</v>
      </c>
      <c r="M34" s="141" t="inlineStr">
        <is>
          <t>TBC</t>
        </is>
      </c>
      <c r="N34" s="175" t="inlineStr">
        <is>
          <t>Factory-filled oil; quote output flange, torque arm and shafts separately || OFFERED: İ.Mak SP 75 i=25 (IEC B14/B5 input flange, hollow output) | Direct NMRV equivalent, i=25, hollow Ø28 | Options included in Unit Price: Output flange €9.75; Torque arm €16.25; Output shaft €9.75</t>
        </is>
      </c>
    </row>
    <row r="35">
      <c r="A35" s="138" t="inlineStr">
        <is>
          <t>GB-029</t>
        </is>
      </c>
      <c r="B35" s="147" t="inlineStr">
        <is>
          <t>Worm Gearbox</t>
        </is>
      </c>
      <c r="C35" s="147" t="inlineStr">
        <is>
          <t>NMRV</t>
        </is>
      </c>
      <c r="D35" s="147" t="inlineStr">
        <is>
          <t>075</t>
        </is>
      </c>
      <c r="E35" s="147" t="str"/>
      <c r="F35" s="147" t="inlineStr">
        <is>
          <t>1:30</t>
        </is>
      </c>
      <c r="G35" s="147" t="inlineStr">
        <is>
          <t>Universal</t>
        </is>
      </c>
      <c r="H35" s="147" t="inlineStr">
        <is>
          <t>Hollow shaft, keyed</t>
        </is>
      </c>
      <c r="I35" s="147" t="inlineStr">
        <is>
          <t>IEC motor adaptor/input</t>
        </is>
      </c>
      <c r="J35" s="173" t="n">
        <v>4</v>
      </c>
      <c r="K35" s="174" t="n">
        <v>180.05</v>
      </c>
      <c r="L35" s="174" t="n">
        <v>720.2</v>
      </c>
      <c r="M35" s="141" t="inlineStr">
        <is>
          <t>TBC</t>
        </is>
      </c>
      <c r="N35" s="175" t="inlineStr">
        <is>
          <t>Factory-filled oil; quote output flange, torque arm and shafts separately || OFFERED: İ.Mak SP 75 i=30 (IEC B14/B5 input flange, hollow output) | Direct NMRV equivalent, i=30, hollow Ø28 | Options included in Unit Price: Output flange €9.75; Torque arm €16.25; Output shaft €9.75</t>
        </is>
      </c>
    </row>
    <row r="36">
      <c r="A36" s="138" t="inlineStr">
        <is>
          <t>GB-030</t>
        </is>
      </c>
      <c r="B36" s="147" t="inlineStr">
        <is>
          <t>Worm Gearbox</t>
        </is>
      </c>
      <c r="C36" s="147" t="inlineStr">
        <is>
          <t>NMRV</t>
        </is>
      </c>
      <c r="D36" s="147" t="inlineStr">
        <is>
          <t>075</t>
        </is>
      </c>
      <c r="E36" s="147" t="str"/>
      <c r="F36" s="147" t="inlineStr">
        <is>
          <t>1:40</t>
        </is>
      </c>
      <c r="G36" s="147" t="inlineStr">
        <is>
          <t>Universal</t>
        </is>
      </c>
      <c r="H36" s="147" t="inlineStr">
        <is>
          <t>Hollow shaft, keyed</t>
        </is>
      </c>
      <c r="I36" s="147" t="inlineStr">
        <is>
          <t>IEC motor adaptor/input</t>
        </is>
      </c>
      <c r="J36" s="173" t="n">
        <v>3</v>
      </c>
      <c r="K36" s="174" t="n">
        <v>180.05</v>
      </c>
      <c r="L36" s="174" t="n">
        <v>540.15</v>
      </c>
      <c r="M36" s="141" t="inlineStr">
        <is>
          <t>TBC</t>
        </is>
      </c>
      <c r="N36" s="175" t="inlineStr">
        <is>
          <t>Factory-filled oil; quote output flange, torque arm and shafts separately || OFFERED: İ.Mak SP 75 i=40 (IEC B14/B5 input flange, hollow output) | Direct NMRV equivalent, i=40, hollow Ø28 | Options included in Unit Price: Output flange €9.75; Torque arm €16.25; Output shaft €9.75</t>
        </is>
      </c>
    </row>
    <row r="37">
      <c r="A37" s="138" t="inlineStr">
        <is>
          <t>GB-031</t>
        </is>
      </c>
      <c r="B37" s="147" t="inlineStr">
        <is>
          <t>Worm Gearbox</t>
        </is>
      </c>
      <c r="C37" s="147" t="inlineStr">
        <is>
          <t>NMRV</t>
        </is>
      </c>
      <c r="D37" s="147" t="inlineStr">
        <is>
          <t>075</t>
        </is>
      </c>
      <c r="E37" s="147" t="str"/>
      <c r="F37" s="147" t="inlineStr">
        <is>
          <t>1:50</t>
        </is>
      </c>
      <c r="G37" s="147" t="inlineStr">
        <is>
          <t>Universal</t>
        </is>
      </c>
      <c r="H37" s="147" t="inlineStr">
        <is>
          <t>Hollow shaft, keyed</t>
        </is>
      </c>
      <c r="I37" s="147" t="inlineStr">
        <is>
          <t>IEC motor adaptor/input</t>
        </is>
      </c>
      <c r="J37" s="173" t="n">
        <v>3</v>
      </c>
      <c r="K37" s="174" t="n">
        <v>180.05</v>
      </c>
      <c r="L37" s="174" t="n">
        <v>540.15</v>
      </c>
      <c r="M37" s="141" t="inlineStr">
        <is>
          <t>TBC</t>
        </is>
      </c>
      <c r="N37" s="175" t="inlineStr">
        <is>
          <t>Factory-filled oil; quote output flange, torque arm and shafts separately || OFFERED: İ.Mak SP 75 i=50 (IEC B14/B5 input flange, hollow output) | Direct NMRV equivalent, i=50, hollow Ø28 | Options included in Unit Price: Output flange €9.75; Torque arm €16.25; Output shaft €9.75</t>
        </is>
      </c>
    </row>
    <row r="38">
      <c r="A38" s="138" t="inlineStr">
        <is>
          <t>GB-032</t>
        </is>
      </c>
      <c r="B38" s="147" t="inlineStr">
        <is>
          <t>Worm Gearbox</t>
        </is>
      </c>
      <c r="C38" s="147" t="inlineStr">
        <is>
          <t>NMRV</t>
        </is>
      </c>
      <c r="D38" s="147" t="inlineStr">
        <is>
          <t>075</t>
        </is>
      </c>
      <c r="E38" s="147" t="str"/>
      <c r="F38" s="147" t="inlineStr">
        <is>
          <t>1:60</t>
        </is>
      </c>
      <c r="G38" s="147" t="inlineStr">
        <is>
          <t>Universal</t>
        </is>
      </c>
      <c r="H38" s="147" t="inlineStr">
        <is>
          <t>Hollow shaft, keyed</t>
        </is>
      </c>
      <c r="I38" s="147" t="inlineStr">
        <is>
          <t>IEC motor adaptor/input</t>
        </is>
      </c>
      <c r="J38" s="173" t="n">
        <v>2</v>
      </c>
      <c r="K38" s="174" t="n">
        <v>180.05</v>
      </c>
      <c r="L38" s="174" t="n">
        <v>360.1</v>
      </c>
      <c r="M38" s="141" t="inlineStr">
        <is>
          <t>TBC</t>
        </is>
      </c>
      <c r="N38" s="175" t="inlineStr">
        <is>
          <t>Factory-filled oil; quote output flange, torque arm and shafts separately || OFFERED: İ.Mak SP 75 i=60 (IEC B14/B5 input flange, hollow output) | Direct NMRV equivalent, i=60, hollow Ø28 | Options included in Unit Price: Output flange €9.75; Torque arm €16.25; Output shaft €9.75</t>
        </is>
      </c>
    </row>
    <row r="39">
      <c r="A39" s="138" t="inlineStr">
        <is>
          <t>GB-033</t>
        </is>
      </c>
      <c r="B39" s="147" t="inlineStr">
        <is>
          <t>Worm Gearbox</t>
        </is>
      </c>
      <c r="C39" s="147" t="inlineStr">
        <is>
          <t>NMRV</t>
        </is>
      </c>
      <c r="D39" s="147" t="inlineStr">
        <is>
          <t>090</t>
        </is>
      </c>
      <c r="E39" s="147" t="str"/>
      <c r="F39" s="147" t="inlineStr">
        <is>
          <t>1:10</t>
        </is>
      </c>
      <c r="G39" s="147" t="inlineStr">
        <is>
          <t>Universal</t>
        </is>
      </c>
      <c r="H39" s="147" t="inlineStr">
        <is>
          <t>Hollow shaft, keyed</t>
        </is>
      </c>
      <c r="I39" s="147" t="inlineStr">
        <is>
          <t>IEC motor adaptor/input</t>
        </is>
      </c>
      <c r="J39" s="173" t="n">
        <v>3</v>
      </c>
      <c r="K39" s="174" t="n">
        <v>257.4</v>
      </c>
      <c r="L39" s="174" t="n">
        <v>772.2</v>
      </c>
      <c r="M39" s="141" t="inlineStr">
        <is>
          <t>TBC</t>
        </is>
      </c>
      <c r="N39" s="175" t="inlineStr">
        <is>
          <t>Factory-filled oil; quote output flange, torque arm and shafts separately || OFFERED: İ.Mak SP 90 i=10 (IEC B14/B5 input flange, hollow output) | Direct NMRV equivalent, i=10, hollow Ø35 | Options included in Unit Price: Output flange €14.95; Torque arm €26.00; Output shaft €15.60</t>
        </is>
      </c>
    </row>
    <row r="40">
      <c r="A40" s="138" t="inlineStr">
        <is>
          <t>GB-034</t>
        </is>
      </c>
      <c r="B40" s="147" t="inlineStr">
        <is>
          <t>Worm Gearbox</t>
        </is>
      </c>
      <c r="C40" s="147" t="inlineStr">
        <is>
          <t>NMRV</t>
        </is>
      </c>
      <c r="D40" s="147" t="inlineStr">
        <is>
          <t>090</t>
        </is>
      </c>
      <c r="E40" s="147" t="str"/>
      <c r="F40" s="147" t="inlineStr">
        <is>
          <t>1:15</t>
        </is>
      </c>
      <c r="G40" s="147" t="inlineStr">
        <is>
          <t>Universal</t>
        </is>
      </c>
      <c r="H40" s="147" t="inlineStr">
        <is>
          <t>Hollow shaft, keyed</t>
        </is>
      </c>
      <c r="I40" s="147" t="inlineStr">
        <is>
          <t>IEC motor adaptor/input</t>
        </is>
      </c>
      <c r="J40" s="173" t="n">
        <v>2</v>
      </c>
      <c r="K40" s="174" t="n">
        <v>257.4</v>
      </c>
      <c r="L40" s="174" t="n">
        <v>514.8</v>
      </c>
      <c r="M40" s="141" t="inlineStr">
        <is>
          <t>TBC</t>
        </is>
      </c>
      <c r="N40" s="175" t="inlineStr">
        <is>
          <t>Factory-filled oil; quote output flange, torque arm and shafts separately || OFFERED: İ.Mak SP 90 i=15 (IEC B14/B5 input flange, hollow output) | Direct NMRV equivalent, i=15, hollow Ø35 | Options included in Unit Price: Output flange €14.95; Torque arm €26.00; Output shaft €15.60</t>
        </is>
      </c>
    </row>
    <row r="41">
      <c r="A41" s="138" t="inlineStr">
        <is>
          <t>GB-035</t>
        </is>
      </c>
      <c r="B41" s="147" t="inlineStr">
        <is>
          <t>Worm Gearbox</t>
        </is>
      </c>
      <c r="C41" s="147" t="inlineStr">
        <is>
          <t>NMRV</t>
        </is>
      </c>
      <c r="D41" s="147" t="inlineStr">
        <is>
          <t>090</t>
        </is>
      </c>
      <c r="E41" s="147" t="str"/>
      <c r="F41" s="147" t="inlineStr">
        <is>
          <t>1:20</t>
        </is>
      </c>
      <c r="G41" s="147" t="inlineStr">
        <is>
          <t>Universal</t>
        </is>
      </c>
      <c r="H41" s="147" t="inlineStr">
        <is>
          <t>Hollow shaft, keyed</t>
        </is>
      </c>
      <c r="I41" s="147" t="inlineStr">
        <is>
          <t>IEC motor adaptor/input</t>
        </is>
      </c>
      <c r="J41" s="173" t="n">
        <v>3</v>
      </c>
      <c r="K41" s="174" t="n">
        <v>257.4</v>
      </c>
      <c r="L41" s="174" t="n">
        <v>772.2</v>
      </c>
      <c r="M41" s="141" t="inlineStr">
        <is>
          <t>TBC</t>
        </is>
      </c>
      <c r="N41" s="175" t="inlineStr">
        <is>
          <t>Factory-filled oil; quote output flange, torque arm and shafts separately || OFFERED: İ.Mak SP 90 i=20 (IEC B14/B5 input flange, hollow output) | Direct NMRV equivalent, i=20, hollow Ø35 | Options included in Unit Price: Output flange €14.95; Torque arm €26.00; Output shaft €15.60</t>
        </is>
      </c>
    </row>
    <row r="42">
      <c r="A42" s="138" t="inlineStr">
        <is>
          <t>GB-036</t>
        </is>
      </c>
      <c r="B42" s="147" t="inlineStr">
        <is>
          <t>Worm Gearbox</t>
        </is>
      </c>
      <c r="C42" s="147" t="inlineStr">
        <is>
          <t>NMRV</t>
        </is>
      </c>
      <c r="D42" s="147" t="inlineStr">
        <is>
          <t>090</t>
        </is>
      </c>
      <c r="E42" s="147" t="str"/>
      <c r="F42" s="147" t="inlineStr">
        <is>
          <t>1:25</t>
        </is>
      </c>
      <c r="G42" s="147" t="inlineStr">
        <is>
          <t>Universal</t>
        </is>
      </c>
      <c r="H42" s="147" t="inlineStr">
        <is>
          <t>Hollow shaft, keyed</t>
        </is>
      </c>
      <c r="I42" s="147" t="inlineStr">
        <is>
          <t>IEC motor adaptor/input</t>
        </is>
      </c>
      <c r="J42" s="173" t="n">
        <v>2</v>
      </c>
      <c r="K42" s="174" t="n">
        <v>257.4</v>
      </c>
      <c r="L42" s="174" t="n">
        <v>514.8</v>
      </c>
      <c r="M42" s="141" t="inlineStr">
        <is>
          <t>TBC</t>
        </is>
      </c>
      <c r="N42" s="175" t="inlineStr">
        <is>
          <t>Factory-filled oil; quote output flange, torque arm and shafts separately || OFFERED: İ.Mak SP 90 i=25 (IEC B14/B5 input flange, hollow output) | Direct NMRV equivalent, i=25, hollow Ø35 | Options included in Unit Price: Output flange €14.95; Torque arm €26.00; Output shaft €15.60</t>
        </is>
      </c>
    </row>
    <row r="43">
      <c r="A43" s="138" t="inlineStr">
        <is>
          <t>GB-037</t>
        </is>
      </c>
      <c r="B43" s="147" t="inlineStr">
        <is>
          <t>Worm Gearbox</t>
        </is>
      </c>
      <c r="C43" s="147" t="inlineStr">
        <is>
          <t>NMRV</t>
        </is>
      </c>
      <c r="D43" s="147" t="inlineStr">
        <is>
          <t>090</t>
        </is>
      </c>
      <c r="E43" s="147" t="str"/>
      <c r="F43" s="147" t="inlineStr">
        <is>
          <t>1:30</t>
        </is>
      </c>
      <c r="G43" s="147" t="inlineStr">
        <is>
          <t>Universal</t>
        </is>
      </c>
      <c r="H43" s="147" t="inlineStr">
        <is>
          <t>Hollow shaft, keyed</t>
        </is>
      </c>
      <c r="I43" s="147" t="inlineStr">
        <is>
          <t>IEC motor adaptor/input</t>
        </is>
      </c>
      <c r="J43" s="173" t="n">
        <v>3</v>
      </c>
      <c r="K43" s="174" t="n">
        <v>257.4</v>
      </c>
      <c r="L43" s="174" t="n">
        <v>772.2</v>
      </c>
      <c r="M43" s="141" t="inlineStr">
        <is>
          <t>TBC</t>
        </is>
      </c>
      <c r="N43" s="175" t="inlineStr">
        <is>
          <t>Factory-filled oil; quote output flange, torque arm and shafts separately || OFFERED: İ.Mak SP 90 i=30 (IEC B14/B5 input flange, hollow output) | Direct NMRV equivalent, i=30, hollow Ø35 | Options included in Unit Price: Output flange €14.95; Torque arm €26.00; Output shaft €15.60</t>
        </is>
      </c>
    </row>
    <row r="44">
      <c r="A44" s="138" t="inlineStr">
        <is>
          <t>GB-038</t>
        </is>
      </c>
      <c r="B44" s="147" t="inlineStr">
        <is>
          <t>Worm Gearbox</t>
        </is>
      </c>
      <c r="C44" s="147" t="inlineStr">
        <is>
          <t>NMRV</t>
        </is>
      </c>
      <c r="D44" s="147" t="inlineStr">
        <is>
          <t>090</t>
        </is>
      </c>
      <c r="E44" s="147" t="str"/>
      <c r="F44" s="147" t="inlineStr">
        <is>
          <t>1:40</t>
        </is>
      </c>
      <c r="G44" s="147" t="inlineStr">
        <is>
          <t>Universal</t>
        </is>
      </c>
      <c r="H44" s="147" t="inlineStr">
        <is>
          <t>Hollow shaft, keyed</t>
        </is>
      </c>
      <c r="I44" s="147" t="inlineStr">
        <is>
          <t>IEC motor adaptor/input</t>
        </is>
      </c>
      <c r="J44" s="173" t="n">
        <v>2</v>
      </c>
      <c r="K44" s="174" t="n">
        <v>257.4</v>
      </c>
      <c r="L44" s="174" t="n">
        <v>514.8</v>
      </c>
      <c r="M44" s="141" t="inlineStr">
        <is>
          <t>TBC</t>
        </is>
      </c>
      <c r="N44" s="175" t="inlineStr">
        <is>
          <t>Factory-filled oil; quote output flange, torque arm and shafts separately || OFFERED: İ.Mak SP 90 i=40 (IEC B14/B5 input flange, hollow output) | Direct NMRV equivalent, i=40, hollow Ø35 | Options included in Unit Price: Output flange €14.95; Torque arm €26.00; Output shaft €15.60</t>
        </is>
      </c>
    </row>
    <row r="45">
      <c r="A45" s="138" t="inlineStr">
        <is>
          <t>GB-039</t>
        </is>
      </c>
      <c r="B45" s="147" t="inlineStr">
        <is>
          <t>Worm Gearbox</t>
        </is>
      </c>
      <c r="C45" s="147" t="inlineStr">
        <is>
          <t>NMRV</t>
        </is>
      </c>
      <c r="D45" s="147" t="inlineStr">
        <is>
          <t>090</t>
        </is>
      </c>
      <c r="E45" s="147" t="str"/>
      <c r="F45" s="147" t="inlineStr">
        <is>
          <t>1:50</t>
        </is>
      </c>
      <c r="G45" s="147" t="inlineStr">
        <is>
          <t>Universal</t>
        </is>
      </c>
      <c r="H45" s="147" t="inlineStr">
        <is>
          <t>Hollow shaft, keyed</t>
        </is>
      </c>
      <c r="I45" s="147" t="inlineStr">
        <is>
          <t>IEC motor adaptor/input</t>
        </is>
      </c>
      <c r="J45" s="173" t="n">
        <v>2</v>
      </c>
      <c r="K45" s="174" t="n">
        <v>257.4</v>
      </c>
      <c r="L45" s="174" t="n">
        <v>514.8</v>
      </c>
      <c r="M45" s="141" t="inlineStr">
        <is>
          <t>TBC</t>
        </is>
      </c>
      <c r="N45" s="175" t="inlineStr">
        <is>
          <t>Factory-filled oil; quote output flange, torque arm and shafts separately || OFFERED: İ.Mak SP 90 i=50 (IEC B14/B5 input flange, hollow output) | Direct NMRV equivalent, i=50, hollow Ø35 | Options included in Unit Price: Output flange €14.95; Torque arm €26.00; Output shaft €15.60</t>
        </is>
      </c>
    </row>
    <row r="46">
      <c r="A46" s="138" t="inlineStr">
        <is>
          <t>GB-040</t>
        </is>
      </c>
      <c r="B46" s="147" t="inlineStr">
        <is>
          <t>Worm Gearbox</t>
        </is>
      </c>
      <c r="C46" s="147" t="inlineStr">
        <is>
          <t>NMRV</t>
        </is>
      </c>
      <c r="D46" s="147" t="inlineStr">
        <is>
          <t>090</t>
        </is>
      </c>
      <c r="E46" s="147" t="str"/>
      <c r="F46" s="147" t="inlineStr">
        <is>
          <t>1:60</t>
        </is>
      </c>
      <c r="G46" s="147" t="inlineStr">
        <is>
          <t>Universal</t>
        </is>
      </c>
      <c r="H46" s="147" t="inlineStr">
        <is>
          <t>Hollow shaft, keyed</t>
        </is>
      </c>
      <c r="I46" s="147" t="inlineStr">
        <is>
          <t>IEC motor adaptor/input</t>
        </is>
      </c>
      <c r="J46" s="173" t="n">
        <v>1</v>
      </c>
      <c r="K46" s="174" t="n">
        <v>257.4</v>
      </c>
      <c r="L46" s="174" t="n">
        <v>257.4</v>
      </c>
      <c r="M46" s="141" t="inlineStr">
        <is>
          <t>TBC</t>
        </is>
      </c>
      <c r="N46" s="175" t="inlineStr">
        <is>
          <t>Factory-filled oil; quote output flange, torque arm and shafts separately || OFFERED: İ.Mak SP 90 i=60 (IEC B14/B5 input flange, hollow output) | Direct NMRV equivalent, i=60, hollow Ø35 | Options included in Unit Price: Output flange €14.95; Torque arm €26.00; Output shaft €15.60</t>
        </is>
      </c>
    </row>
    <row r="47">
      <c r="A47" s="138" t="inlineStr">
        <is>
          <t>GB-041</t>
        </is>
      </c>
      <c r="B47" s="147" t="inlineStr">
        <is>
          <t>Worm Gearbox</t>
        </is>
      </c>
      <c r="C47" s="147" t="inlineStr">
        <is>
          <t>NMRV</t>
        </is>
      </c>
      <c r="D47" s="147" t="inlineStr">
        <is>
          <t>110</t>
        </is>
      </c>
      <c r="E47" s="147" t="str"/>
      <c r="F47" s="147" t="inlineStr">
        <is>
          <t>1:10</t>
        </is>
      </c>
      <c r="G47" s="147" t="inlineStr">
        <is>
          <t>Universal</t>
        </is>
      </c>
      <c r="H47" s="147" t="inlineStr">
        <is>
          <t>Hollow shaft, keyed</t>
        </is>
      </c>
      <c r="I47" s="147" t="inlineStr">
        <is>
          <t>IEC motor adaptor/input</t>
        </is>
      </c>
      <c r="J47" s="173" t="n">
        <v>1</v>
      </c>
      <c r="K47" s="174" t="n">
        <v>406.9</v>
      </c>
      <c r="L47" s="174" t="n">
        <v>406.9</v>
      </c>
      <c r="M47" s="141" t="inlineStr">
        <is>
          <t>TBC</t>
        </is>
      </c>
      <c r="N47" s="175" t="inlineStr">
        <is>
          <t>Factory-filled oil; quote output flange, torque arm and shafts separately || OFFERED: İ.Mak SP 110 i=10 (IEC B14/B5 input flange, hollow output) | Direct NMRV equivalent, i=10, hollow Ø42 | Options included in Unit Price: Output flange €22.75; Torque arm €43.55; Output shaft €25.35</t>
        </is>
      </c>
    </row>
    <row r="48">
      <c r="A48" s="138" t="inlineStr">
        <is>
          <t>GB-042</t>
        </is>
      </c>
      <c r="B48" s="147" t="inlineStr">
        <is>
          <t>Worm Gearbox</t>
        </is>
      </c>
      <c r="C48" s="147" t="inlineStr">
        <is>
          <t>NMRV</t>
        </is>
      </c>
      <c r="D48" s="147" t="inlineStr">
        <is>
          <t>110</t>
        </is>
      </c>
      <c r="E48" s="147" t="str"/>
      <c r="F48" s="147" t="inlineStr">
        <is>
          <t>1:20</t>
        </is>
      </c>
      <c r="G48" s="147" t="inlineStr">
        <is>
          <t>Universal</t>
        </is>
      </c>
      <c r="H48" s="147" t="inlineStr">
        <is>
          <t>Hollow shaft, keyed</t>
        </is>
      </c>
      <c r="I48" s="147" t="inlineStr">
        <is>
          <t>IEC motor adaptor/input</t>
        </is>
      </c>
      <c r="J48" s="173" t="n">
        <v>1</v>
      </c>
      <c r="K48" s="174" t="n">
        <v>406.9</v>
      </c>
      <c r="L48" s="174" t="n">
        <v>406.9</v>
      </c>
      <c r="M48" s="141" t="inlineStr">
        <is>
          <t>TBC</t>
        </is>
      </c>
      <c r="N48" s="175" t="inlineStr">
        <is>
          <t>Factory-filled oil; quote output flange, torque arm and shafts separately || OFFERED: İ.Mak SP 110 i=20 (IEC B14/B5 input flange, hollow output) | Direct NMRV equivalent, i=20, hollow Ø42 | Options included in Unit Price: Output flange €22.75; Torque arm €43.55; Output shaft €25.35</t>
        </is>
      </c>
    </row>
    <row r="49">
      <c r="A49" s="138" t="inlineStr">
        <is>
          <t>GB-043</t>
        </is>
      </c>
      <c r="B49" s="147" t="inlineStr">
        <is>
          <t>Worm Gearbox</t>
        </is>
      </c>
      <c r="C49" s="147" t="inlineStr">
        <is>
          <t>NMRV</t>
        </is>
      </c>
      <c r="D49" s="147" t="inlineStr">
        <is>
          <t>110</t>
        </is>
      </c>
      <c r="E49" s="147" t="str"/>
      <c r="F49" s="147" t="inlineStr">
        <is>
          <t>1:30</t>
        </is>
      </c>
      <c r="G49" s="147" t="inlineStr">
        <is>
          <t>Universal</t>
        </is>
      </c>
      <c r="H49" s="147" t="inlineStr">
        <is>
          <t>Hollow shaft, keyed</t>
        </is>
      </c>
      <c r="I49" s="147" t="inlineStr">
        <is>
          <t>IEC motor adaptor/input</t>
        </is>
      </c>
      <c r="J49" s="173" t="n">
        <v>1</v>
      </c>
      <c r="K49" s="174" t="n">
        <v>406.9</v>
      </c>
      <c r="L49" s="174" t="n">
        <v>406.9</v>
      </c>
      <c r="M49" s="141" t="inlineStr">
        <is>
          <t>TBC</t>
        </is>
      </c>
      <c r="N49" s="175" t="inlineStr">
        <is>
          <t>Factory-filled oil; quote output flange, torque arm and shafts separately || OFFERED: İ.Mak SP 110 i=30 (IEC B14/B5 input flange, hollow output) | Direct NMRV equivalent, i=30, hollow Ø42 | Options included in Unit Price: Output flange €22.75; Torque arm €43.55; Output shaft €25.35</t>
        </is>
      </c>
    </row>
    <row r="50">
      <c r="A50" s="138" t="inlineStr">
        <is>
          <t>GB-044</t>
        </is>
      </c>
      <c r="B50" s="147" t="inlineStr">
        <is>
          <t>Worm Gearbox</t>
        </is>
      </c>
      <c r="C50" s="147" t="inlineStr">
        <is>
          <t>NMRV</t>
        </is>
      </c>
      <c r="D50" s="147" t="inlineStr">
        <is>
          <t>110</t>
        </is>
      </c>
      <c r="E50" s="147" t="str"/>
      <c r="F50" s="147" t="inlineStr">
        <is>
          <t>1:40</t>
        </is>
      </c>
      <c r="G50" s="147" t="inlineStr">
        <is>
          <t>Universal</t>
        </is>
      </c>
      <c r="H50" s="147" t="inlineStr">
        <is>
          <t>Hollow shaft, keyed</t>
        </is>
      </c>
      <c r="I50" s="147" t="inlineStr">
        <is>
          <t>IEC motor adaptor/input</t>
        </is>
      </c>
      <c r="J50" s="173" t="n">
        <v>1</v>
      </c>
      <c r="K50" s="174" t="n">
        <v>406.9</v>
      </c>
      <c r="L50" s="174" t="n">
        <v>406.9</v>
      </c>
      <c r="M50" s="141" t="inlineStr">
        <is>
          <t>TBC</t>
        </is>
      </c>
      <c r="N50" s="175" t="inlineStr">
        <is>
          <t>Factory-filled oil; quote output flange, torque arm and shafts separately || OFFERED: İ.Mak SP 110 i=40 (IEC B14/B5 input flange, hollow output) | Direct NMRV equivalent, i=40, hollow Ø42 | Options included in Unit Price: Output flange €22.75; Torque arm €43.55; Output shaft €25.35</t>
        </is>
      </c>
    </row>
    <row r="51">
      <c r="A51" s="138" t="inlineStr">
        <is>
          <t>GB-045</t>
        </is>
      </c>
      <c r="B51" s="147" t="inlineStr">
        <is>
          <t>Worm Gearbox</t>
        </is>
      </c>
      <c r="C51" s="147" t="inlineStr">
        <is>
          <t>NMRV</t>
        </is>
      </c>
      <c r="D51" s="147" t="inlineStr">
        <is>
          <t>110</t>
        </is>
      </c>
      <c r="E51" s="147" t="str"/>
      <c r="F51" s="147" t="inlineStr">
        <is>
          <t>1:50</t>
        </is>
      </c>
      <c r="G51" s="147" t="inlineStr">
        <is>
          <t>Universal</t>
        </is>
      </c>
      <c r="H51" s="147" t="inlineStr">
        <is>
          <t>Hollow shaft, keyed</t>
        </is>
      </c>
      <c r="I51" s="147" t="inlineStr">
        <is>
          <t>IEC motor adaptor/input</t>
        </is>
      </c>
      <c r="J51" s="173" t="n">
        <v>1</v>
      </c>
      <c r="K51" s="174" t="n">
        <v>406.9</v>
      </c>
      <c r="L51" s="174" t="n">
        <v>406.9</v>
      </c>
      <c r="M51" s="141" t="inlineStr">
        <is>
          <t>TBC</t>
        </is>
      </c>
      <c r="N51" s="175" t="inlineStr">
        <is>
          <t>Factory-filled oil; quote output flange, torque arm and shafts separately || OFFERED: İ.Mak SP 110 i=50 (IEC B14/B5 input flange, hollow output) | Direct NMRV equivalent, i=50, hollow Ø42 | Options included in Unit Price: Output flange €22.75; Torque arm €43.55; Output shaft €25.35</t>
        </is>
      </c>
    </row>
    <row r="52">
      <c r="A52" s="138" t="inlineStr">
        <is>
          <t>GB-046</t>
        </is>
      </c>
      <c r="B52" s="147" t="inlineStr">
        <is>
          <t>Worm Gearbox</t>
        </is>
      </c>
      <c r="C52" s="147" t="inlineStr">
        <is>
          <t>NMRV</t>
        </is>
      </c>
      <c r="D52" s="147" t="inlineStr">
        <is>
          <t>130</t>
        </is>
      </c>
      <c r="E52" s="147" t="str"/>
      <c r="F52" s="147" t="inlineStr">
        <is>
          <t>1:50</t>
        </is>
      </c>
      <c r="G52" s="147" t="inlineStr">
        <is>
          <t>Universal</t>
        </is>
      </c>
      <c r="H52" s="147" t="inlineStr">
        <is>
          <t>Hollow shaft, keyed</t>
        </is>
      </c>
      <c r="I52" s="147" t="inlineStr">
        <is>
          <t>IEC motor adaptor/input</t>
        </is>
      </c>
      <c r="J52" s="173" t="n">
        <v>50</v>
      </c>
      <c r="K52" s="174" t="n">
        <v>627.25</v>
      </c>
      <c r="L52" s="174" t="n">
        <v>31362.5</v>
      </c>
      <c r="M52" s="141" t="inlineStr">
        <is>
          <t>TBC</t>
        </is>
      </c>
      <c r="N52" s="175" t="inlineStr">
        <is>
          <t>Cast-iron housing required; factory-filled oil || OFFERED: İ.Mak İRSAP 127 i=52 (IEC B14/B5 input flange, hollow output) | Cast-iron İRSA 127 offered (S series is aluminium); ratio 1:52 instead of 1:50; hollow Ø50 (NMRV130 = Ø45) | Options included in Unit Price: Output flange €39.00; Torque arm €29.25; Output shaft €22.10</t>
        </is>
      </c>
    </row>
    <row r="53">
      <c r="A53" s="138" t="inlineStr">
        <is>
          <t>GB-047</t>
        </is>
      </c>
      <c r="B53" s="147" t="inlineStr">
        <is>
          <t>Worm Gearbox</t>
        </is>
      </c>
      <c r="C53" s="147" t="inlineStr">
        <is>
          <t>NMRV</t>
        </is>
      </c>
      <c r="D53" s="147" t="inlineStr">
        <is>
          <t>130</t>
        </is>
      </c>
      <c r="E53" s="147" t="str"/>
      <c r="F53" s="147" t="inlineStr">
        <is>
          <t>1:60</t>
        </is>
      </c>
      <c r="G53" s="147" t="inlineStr">
        <is>
          <t>Universal</t>
        </is>
      </c>
      <c r="H53" s="147" t="inlineStr">
        <is>
          <t>Hollow shaft, keyed</t>
        </is>
      </c>
      <c r="I53" s="147" t="inlineStr">
        <is>
          <t>IEC motor adaptor/input</t>
        </is>
      </c>
      <c r="J53" s="173" t="n">
        <v>50</v>
      </c>
      <c r="K53" s="174" t="n">
        <v>627.25</v>
      </c>
      <c r="L53" s="174" t="n">
        <v>31362.5</v>
      </c>
      <c r="M53" s="141" t="inlineStr">
        <is>
          <t>TBC</t>
        </is>
      </c>
      <c r="N53" s="175" t="inlineStr">
        <is>
          <t>Cast-iron housing required; factory-filled oil || OFFERED: İ.Mak İRSAP 127 i=65 (IEC B14/B5 input flange, hollow output) | Cast-iron İRSA 127 offered (S series is aluminium); ratio 1:65 instead of 1:60; hollow Ø50 (NMRV130 = Ø45) | Options included in Unit Price: Output flange €39.00; Torque arm €29.25; Output shaft €22.10</t>
        </is>
      </c>
    </row>
    <row r="54">
      <c r="A54" s="138" t="inlineStr">
        <is>
          <t>GB-048</t>
        </is>
      </c>
      <c r="B54" s="147" t="inlineStr">
        <is>
          <t>Worm Gearbox</t>
        </is>
      </c>
      <c r="C54" s="147" t="inlineStr">
        <is>
          <t>NMRV</t>
        </is>
      </c>
      <c r="D54" s="147" t="inlineStr">
        <is>
          <t>150</t>
        </is>
      </c>
      <c r="E54" s="147" t="str"/>
      <c r="F54" s="147" t="inlineStr">
        <is>
          <t>1:50</t>
        </is>
      </c>
      <c r="G54" s="147" t="inlineStr">
        <is>
          <t>Universal</t>
        </is>
      </c>
      <c r="H54" s="147" t="inlineStr">
        <is>
          <t>Hollow shaft, keyed</t>
        </is>
      </c>
      <c r="I54" s="147" t="inlineStr">
        <is>
          <t>IEC motor adaptor/input</t>
        </is>
      </c>
      <c r="J54" s="173" t="n">
        <v>50</v>
      </c>
      <c r="K54" s="174" t="n">
        <v>627.25</v>
      </c>
      <c r="L54" s="174" t="n">
        <v>31362.5</v>
      </c>
      <c r="M54" s="141" t="inlineStr">
        <is>
          <t>TBC</t>
        </is>
      </c>
      <c r="N54" s="175" t="inlineStr">
        <is>
          <t>Cast-iron housing required; factory-filled oil || OFFERED: İ.Mak İRSAP 127 i=52 (IEC B14/B5 input flange, hollow output) | Cast-iron İRSA 127 offered (S series is aluminium); ratio 1:52 instead of 1:50; hollow Ø50 | Options included in Unit Price: Output flange €39.00; Torque arm €29.25; Output shaft €22.10</t>
        </is>
      </c>
    </row>
    <row r="55">
      <c r="A55" s="138" t="inlineStr">
        <is>
          <t>GB-049</t>
        </is>
      </c>
      <c r="B55" s="147" t="inlineStr">
        <is>
          <t>Worm Gearbox</t>
        </is>
      </c>
      <c r="C55" s="147" t="inlineStr">
        <is>
          <t>NMRV</t>
        </is>
      </c>
      <c r="D55" s="147" t="inlineStr">
        <is>
          <t>150</t>
        </is>
      </c>
      <c r="E55" s="147" t="str"/>
      <c r="F55" s="147" t="inlineStr">
        <is>
          <t>1:60</t>
        </is>
      </c>
      <c r="G55" s="147" t="inlineStr">
        <is>
          <t>Universal</t>
        </is>
      </c>
      <c r="H55" s="147" t="inlineStr">
        <is>
          <t>Hollow shaft, keyed</t>
        </is>
      </c>
      <c r="I55" s="147" t="inlineStr">
        <is>
          <t>IEC motor adaptor/input</t>
        </is>
      </c>
      <c r="J55" s="173" t="n">
        <v>50</v>
      </c>
      <c r="K55" s="174" t="n">
        <v>627.25</v>
      </c>
      <c r="L55" s="174" t="n">
        <v>31362.5</v>
      </c>
      <c r="M55" s="141" t="inlineStr">
        <is>
          <t>TBC</t>
        </is>
      </c>
      <c r="N55" s="175" t="inlineStr">
        <is>
          <t>Cast-iron housing required; factory-filled oil || OFFERED: İ.Mak İRSAP 127 i=65 (IEC B14/B5 input flange, hollow output) | Cast-iron İRSA 127 offered (S series is aluminium); ratio 1:65 instead of 1:60; hollow Ø50 | Options included in Unit Price: Output flange €39.00; Torque arm €29.25; Output shaft €22.10</t>
        </is>
      </c>
    </row>
    <row r="56">
      <c r="A56" s="138" t="inlineStr">
        <is>
          <t>GB-050</t>
        </is>
      </c>
      <c r="B56" s="147" t="inlineStr">
        <is>
          <t>Helical Inline</t>
        </is>
      </c>
      <c r="C56" s="147" t="inlineStr">
        <is>
          <t>R / Equivalent</t>
        </is>
      </c>
      <c r="D56" s="147" t="inlineStr">
        <is>
          <t>Supplier selection</t>
        </is>
      </c>
      <c r="E56" s="147" t="n">
        <v>0.37</v>
      </c>
      <c r="F56" s="147" t="inlineStr">
        <is>
          <t>1:10</t>
        </is>
      </c>
      <c r="G56" s="147" t="inlineStr">
        <is>
          <t>B3 foot</t>
        </is>
      </c>
      <c r="H56" s="147" t="inlineStr">
        <is>
          <t>Solid output shaft</t>
        </is>
      </c>
      <c r="I56" s="147" t="inlineStr">
        <is>
          <t>IEC motor adaptor/input</t>
        </is>
      </c>
      <c r="J56" s="173" t="n">
        <v>1</v>
      </c>
      <c r="K56" s="174" t="n">
        <v>145.6</v>
      </c>
      <c r="L56" s="174" t="n">
        <v>145.6</v>
      </c>
      <c r="M56" s="141" t="inlineStr">
        <is>
          <t>TBC</t>
        </is>
      </c>
      <c r="N56" s="175" t="inlineStr">
        <is>
          <t>Quote reducer-only and complete gearmotor alternatives || OFFERED: İ.Mak İRAP 42 i=9.845 + IEC 71 B5 input (code 155) | Catalogue ratio i=9.845 (n2≈142 rpm), Sf 1.94 at 0.37 kW; Gearmotor alternative: İRAM 42 / 71 M 4b (available on request)</t>
        </is>
      </c>
    </row>
    <row r="57">
      <c r="A57" s="138" t="inlineStr">
        <is>
          <t>GB-051</t>
        </is>
      </c>
      <c r="B57" s="147" t="inlineStr">
        <is>
          <t>Helical Inline</t>
        </is>
      </c>
      <c r="C57" s="147" t="inlineStr">
        <is>
          <t>R / Equivalent</t>
        </is>
      </c>
      <c r="D57" s="147" t="inlineStr">
        <is>
          <t>Supplier selection</t>
        </is>
      </c>
      <c r="E57" s="147" t="n">
        <v>0.37</v>
      </c>
      <c r="F57" s="147" t="inlineStr">
        <is>
          <t>1:20</t>
        </is>
      </c>
      <c r="G57" s="147" t="inlineStr">
        <is>
          <t>B3 foot</t>
        </is>
      </c>
      <c r="H57" s="147" t="inlineStr">
        <is>
          <t>Solid output shaft</t>
        </is>
      </c>
      <c r="I57" s="147" t="inlineStr">
        <is>
          <t>IEC motor adaptor/input</t>
        </is>
      </c>
      <c r="J57" s="173" t="n">
        <v>1</v>
      </c>
      <c r="K57" s="174" t="n">
        <v>148.2</v>
      </c>
      <c r="L57" s="174" t="n">
        <v>148.2</v>
      </c>
      <c r="M57" s="141" t="inlineStr">
        <is>
          <t>TBC</t>
        </is>
      </c>
      <c r="N57" s="175" t="inlineStr">
        <is>
          <t>Quote reducer-only and complete gearmotor alternatives || OFFERED: İ.Mak İRAP 43 i=20.0 + IEC 71 B5 input (code 155) | Catalogue ratio i=20.0 (n2≈69 rpm), Sf 1.68 at 0.37 kW; Gearmotor alternative: İRAM 43 / 71 M 4b (available on request)</t>
        </is>
      </c>
    </row>
    <row r="58">
      <c r="A58" s="138" t="inlineStr">
        <is>
          <t>GB-052</t>
        </is>
      </c>
      <c r="B58" s="147" t="inlineStr">
        <is>
          <t>Helical Inline</t>
        </is>
      </c>
      <c r="C58" s="147" t="inlineStr">
        <is>
          <t>R / Equivalent</t>
        </is>
      </c>
      <c r="D58" s="147" t="inlineStr">
        <is>
          <t>Supplier selection</t>
        </is>
      </c>
      <c r="E58" s="147" t="n">
        <v>0.37</v>
      </c>
      <c r="F58" s="147" t="inlineStr">
        <is>
          <t>1:30</t>
        </is>
      </c>
      <c r="G58" s="147" t="inlineStr">
        <is>
          <t>B3 foot</t>
        </is>
      </c>
      <c r="H58" s="147" t="inlineStr">
        <is>
          <t>Solid output shaft</t>
        </is>
      </c>
      <c r="I58" s="147" t="inlineStr">
        <is>
          <t>IEC motor adaptor/input</t>
        </is>
      </c>
      <c r="J58" s="173" t="n">
        <v>1</v>
      </c>
      <c r="K58" s="174" t="n">
        <v>180.7</v>
      </c>
      <c r="L58" s="174" t="n">
        <v>180.7</v>
      </c>
      <c r="M58" s="141" t="inlineStr">
        <is>
          <t>TBC</t>
        </is>
      </c>
      <c r="N58" s="175" t="inlineStr">
        <is>
          <t>Quote reducer-only and complete gearmotor alternatives || OFFERED: İ.Mak İRAP 53 i=31.33 + IEC 71 B5 input (code 155) | Catalogue ratio i=31.33 (n2≈44 rpm), Sf 2.49 at 0.37 kW; Gearmotor alternative: İRAM 53 / 71 M 4b (available on request)</t>
        </is>
      </c>
    </row>
    <row r="59">
      <c r="A59" s="138" t="inlineStr">
        <is>
          <t>GB-053</t>
        </is>
      </c>
      <c r="B59" s="147" t="inlineStr">
        <is>
          <t>Helical Inline</t>
        </is>
      </c>
      <c r="C59" s="147" t="inlineStr">
        <is>
          <t>R / Equivalent</t>
        </is>
      </c>
      <c r="D59" s="147" t="inlineStr">
        <is>
          <t>Supplier selection</t>
        </is>
      </c>
      <c r="E59" s="147" t="n">
        <v>0.37</v>
      </c>
      <c r="F59" s="147" t="inlineStr">
        <is>
          <t>1:40</t>
        </is>
      </c>
      <c r="G59" s="147" t="inlineStr">
        <is>
          <t>B3 foot</t>
        </is>
      </c>
      <c r="H59" s="147" t="inlineStr">
        <is>
          <t>Solid output shaft</t>
        </is>
      </c>
      <c r="I59" s="147" t="inlineStr">
        <is>
          <t>IEC motor adaptor/input</t>
        </is>
      </c>
      <c r="J59" s="173" t="n">
        <v>1</v>
      </c>
      <c r="K59" s="174" t="n">
        <v>180.7</v>
      </c>
      <c r="L59" s="174" t="n">
        <v>180.7</v>
      </c>
      <c r="M59" s="141" t="inlineStr">
        <is>
          <t>TBC</t>
        </is>
      </c>
      <c r="N59" s="175" t="inlineStr">
        <is>
          <t>Quote reducer-only and complete gearmotor alternatives || OFFERED: İ.Mak İRAP 53 i=39.09 + IEC 71 B5 input (code 155) | Catalogue ratio i=39.09 (n2≈35 rpm), Sf 2.07 at 0.37 kW; Gearmotor alternative: İRAM 53 / 71 M 4b (available on request)</t>
        </is>
      </c>
    </row>
    <row r="60">
      <c r="A60" s="138" t="inlineStr">
        <is>
          <t>GB-054</t>
        </is>
      </c>
      <c r="B60" s="147" t="inlineStr">
        <is>
          <t>Helical Inline</t>
        </is>
      </c>
      <c r="C60" s="147" t="inlineStr">
        <is>
          <t>R / Equivalent</t>
        </is>
      </c>
      <c r="D60" s="147" t="inlineStr">
        <is>
          <t>Supplier selection</t>
        </is>
      </c>
      <c r="E60" s="147" t="n">
        <v>0.55</v>
      </c>
      <c r="F60" s="147" t="inlineStr">
        <is>
          <t>1:10</t>
        </is>
      </c>
      <c r="G60" s="147" t="inlineStr">
        <is>
          <t>B3 foot</t>
        </is>
      </c>
      <c r="H60" s="147" t="inlineStr">
        <is>
          <t>Solid output shaft</t>
        </is>
      </c>
      <c r="I60" s="147" t="inlineStr">
        <is>
          <t>IEC motor adaptor/input</t>
        </is>
      </c>
      <c r="J60" s="173" t="n">
        <v>1</v>
      </c>
      <c r="K60" s="174" t="n">
        <v>180.05</v>
      </c>
      <c r="L60" s="174" t="n">
        <v>180.05</v>
      </c>
      <c r="M60" s="141" t="inlineStr">
        <is>
          <t>TBC</t>
        </is>
      </c>
      <c r="N60" s="175" t="inlineStr">
        <is>
          <t>Quote reducer-only and complete gearmotor alternatives || OFFERED: İ.Mak İRAP 52 i=9.47 + IEC 80 B5 input (code 155) | Catalogue ratio i=9.47 (n2≈147 rpm), Sf 4.4 at 0.55 kW; Gearmotor alternative: İRAM 52 / 80 M 4a (available on request)</t>
        </is>
      </c>
    </row>
    <row r="61">
      <c r="A61" s="138" t="inlineStr">
        <is>
          <t>GB-055</t>
        </is>
      </c>
      <c r="B61" s="147" t="inlineStr">
        <is>
          <t>Helical Inline</t>
        </is>
      </c>
      <c r="C61" s="147" t="inlineStr">
        <is>
          <t>R / Equivalent</t>
        </is>
      </c>
      <c r="D61" s="147" t="inlineStr">
        <is>
          <t>Supplier selection</t>
        </is>
      </c>
      <c r="E61" s="147" t="n">
        <v>0.55</v>
      </c>
      <c r="F61" s="147" t="inlineStr">
        <is>
          <t>1:15</t>
        </is>
      </c>
      <c r="G61" s="147" t="inlineStr">
        <is>
          <t>B3 foot</t>
        </is>
      </c>
      <c r="H61" s="147" t="inlineStr">
        <is>
          <t>Solid output shaft</t>
        </is>
      </c>
      <c r="I61" s="147" t="inlineStr">
        <is>
          <t>IEC motor adaptor/input</t>
        </is>
      </c>
      <c r="J61" s="173" t="n">
        <v>1</v>
      </c>
      <c r="K61" s="174" t="n">
        <v>154.7</v>
      </c>
      <c r="L61" s="174" t="n">
        <v>154.7</v>
      </c>
      <c r="M61" s="141" t="inlineStr">
        <is>
          <t>TBC</t>
        </is>
      </c>
      <c r="N61" s="175" t="inlineStr">
        <is>
          <t>Quote reducer-only and complete gearmotor alternatives || OFFERED: İ.Mak İRAP 43 i=14.6 + IEC 80 B5 input (code 155) | Catalogue ratio i=14.6 (n2≈95 rpm), Sf 1.54 at 0.55 kW; Gearmotor alternative: İRAM 43 / 80 M 4a (available on request)</t>
        </is>
      </c>
    </row>
    <row r="62">
      <c r="A62" s="138" t="inlineStr">
        <is>
          <t>GB-056</t>
        </is>
      </c>
      <c r="B62" s="147" t="inlineStr">
        <is>
          <t>Helical Inline</t>
        </is>
      </c>
      <c r="C62" s="147" t="inlineStr">
        <is>
          <t>R / Equivalent</t>
        </is>
      </c>
      <c r="D62" s="147" t="inlineStr">
        <is>
          <t>Supplier selection</t>
        </is>
      </c>
      <c r="E62" s="147" t="n">
        <v>0.55</v>
      </c>
      <c r="F62" s="147" t="inlineStr">
        <is>
          <t>1:20</t>
        </is>
      </c>
      <c r="G62" s="147" t="inlineStr">
        <is>
          <t>B3 foot</t>
        </is>
      </c>
      <c r="H62" s="147" t="inlineStr">
        <is>
          <t>Solid output shaft</t>
        </is>
      </c>
      <c r="I62" s="147" t="inlineStr">
        <is>
          <t>IEC motor adaptor/input</t>
        </is>
      </c>
      <c r="J62" s="173" t="n">
        <v>1</v>
      </c>
      <c r="K62" s="174" t="n">
        <v>187.2</v>
      </c>
      <c r="L62" s="174" t="n">
        <v>187.2</v>
      </c>
      <c r="M62" s="141" t="inlineStr">
        <is>
          <t>TBC</t>
        </is>
      </c>
      <c r="N62" s="175" t="inlineStr">
        <is>
          <t>Quote reducer-only and complete gearmotor alternatives || OFFERED: İ.Mak İRAP 53 i=21.88 + IEC 80 B5 input (code 155) | Catalogue ratio i=21.88 (n2≈63 rpm), Sf 2.22 at 0.55 kW; Gearmotor alternative: İRAM 53 / 80 M 4a (available on request)</t>
        </is>
      </c>
    </row>
    <row r="63">
      <c r="A63" s="138" t="inlineStr">
        <is>
          <t>GB-057</t>
        </is>
      </c>
      <c r="B63" s="147" t="inlineStr">
        <is>
          <t>Helical Inline</t>
        </is>
      </c>
      <c r="C63" s="147" t="inlineStr">
        <is>
          <t>R / Equivalent</t>
        </is>
      </c>
      <c r="D63" s="147" t="inlineStr">
        <is>
          <t>Supplier selection</t>
        </is>
      </c>
      <c r="E63" s="147" t="n">
        <v>0.55</v>
      </c>
      <c r="F63" s="147" t="inlineStr">
        <is>
          <t>1:30</t>
        </is>
      </c>
      <c r="G63" s="147" t="inlineStr">
        <is>
          <t>B3 foot</t>
        </is>
      </c>
      <c r="H63" s="147" t="inlineStr">
        <is>
          <t>Solid output shaft</t>
        </is>
      </c>
      <c r="I63" s="147" t="inlineStr">
        <is>
          <t>IEC motor adaptor/input</t>
        </is>
      </c>
      <c r="J63" s="173" t="n">
        <v>1</v>
      </c>
      <c r="K63" s="174" t="n">
        <v>187.2</v>
      </c>
      <c r="L63" s="174" t="n">
        <v>187.2</v>
      </c>
      <c r="M63" s="141" t="inlineStr">
        <is>
          <t>TBC</t>
        </is>
      </c>
      <c r="N63" s="175" t="inlineStr">
        <is>
          <t>Quote reducer-only and complete gearmotor alternatives || OFFERED: İ.Mak İRAP 53 i=31.33 + IEC 80 B5 input (code 155) | Catalogue ratio i=31.33 (n2≈44 rpm), Sf 1.68 at 0.55 kW; Gearmotor alternative: İRAM 53 / 80 M 4a (available on request)</t>
        </is>
      </c>
    </row>
    <row r="64">
      <c r="A64" s="138" t="inlineStr">
        <is>
          <t>GB-058</t>
        </is>
      </c>
      <c r="B64" s="147" t="inlineStr">
        <is>
          <t>Helical Inline</t>
        </is>
      </c>
      <c r="C64" s="147" t="inlineStr">
        <is>
          <t>R / Equivalent</t>
        </is>
      </c>
      <c r="D64" s="147" t="inlineStr">
        <is>
          <t>Supplier selection</t>
        </is>
      </c>
      <c r="E64" s="147" t="n">
        <v>0.75</v>
      </c>
      <c r="F64" s="147" t="inlineStr">
        <is>
          <t>1:10</t>
        </is>
      </c>
      <c r="G64" s="147" t="inlineStr">
        <is>
          <t>B3 foot</t>
        </is>
      </c>
      <c r="H64" s="147" t="inlineStr">
        <is>
          <t>Solid output shaft</t>
        </is>
      </c>
      <c r="I64" s="147" t="inlineStr">
        <is>
          <t>IEC motor adaptor/input</t>
        </is>
      </c>
      <c r="J64" s="173" t="n">
        <v>2</v>
      </c>
      <c r="K64" s="174" t="n">
        <v>180.05</v>
      </c>
      <c r="L64" s="174" t="n">
        <v>360.1</v>
      </c>
      <c r="M64" s="141" t="inlineStr">
        <is>
          <t>TBC</t>
        </is>
      </c>
      <c r="N64" s="175" t="inlineStr">
        <is>
          <t>Quote reducer-only and complete gearmotor alternatives || OFFERED: İ.Mak İRAP 52 i=9.47 + IEC 80 B5 input (code 155) | Catalogue ratio i=9.47 (n2≈147 rpm), Sf 3.23 at 0.75 kW; Gearmotor alternative: İRAM 52 / 80 M 4b (available on request)</t>
        </is>
      </c>
    </row>
    <row r="65">
      <c r="A65" s="138" t="inlineStr">
        <is>
          <t>GB-059</t>
        </is>
      </c>
      <c r="B65" s="147" t="inlineStr">
        <is>
          <t>Helical Inline</t>
        </is>
      </c>
      <c r="C65" s="147" t="inlineStr">
        <is>
          <t>R / Equivalent</t>
        </is>
      </c>
      <c r="D65" s="147" t="inlineStr">
        <is>
          <t>Supplier selection</t>
        </is>
      </c>
      <c r="E65" s="147" t="n">
        <v>0.75</v>
      </c>
      <c r="F65" s="147" t="inlineStr">
        <is>
          <t>1:20</t>
        </is>
      </c>
      <c r="G65" s="147" t="inlineStr">
        <is>
          <t>B3 foot</t>
        </is>
      </c>
      <c r="H65" s="147" t="inlineStr">
        <is>
          <t>Solid output shaft</t>
        </is>
      </c>
      <c r="I65" s="147" t="inlineStr">
        <is>
          <t>IEC motor adaptor/input</t>
        </is>
      </c>
      <c r="J65" s="173" t="n">
        <v>2</v>
      </c>
      <c r="K65" s="174" t="n">
        <v>187.2</v>
      </c>
      <c r="L65" s="174" t="n">
        <v>374.4</v>
      </c>
      <c r="M65" s="141" t="inlineStr">
        <is>
          <t>TBC</t>
        </is>
      </c>
      <c r="N65" s="175" t="inlineStr">
        <is>
          <t>Quote reducer-only and complete gearmotor alternatives || OFFERED: İ.Mak İRAP 53 i=19.69 + IEC 80 B5 input (code 155) | Catalogue ratio i=19.69 (n2≈71 rpm), Sf 1.81 at 0.75 kW; Gearmotor alternative: İRAM 53 / 80 M 4b (available on request)</t>
        </is>
      </c>
    </row>
    <row r="66">
      <c r="A66" s="138" t="inlineStr">
        <is>
          <t>GB-060</t>
        </is>
      </c>
      <c r="B66" s="147" t="inlineStr">
        <is>
          <t>Helical Inline</t>
        </is>
      </c>
      <c r="C66" s="147" t="inlineStr">
        <is>
          <t>R / Equivalent</t>
        </is>
      </c>
      <c r="D66" s="147" t="inlineStr">
        <is>
          <t>Supplier selection</t>
        </is>
      </c>
      <c r="E66" s="147" t="n">
        <v>0.75</v>
      </c>
      <c r="F66" s="147" t="inlineStr">
        <is>
          <t>1:30</t>
        </is>
      </c>
      <c r="G66" s="147" t="inlineStr">
        <is>
          <t>B3 foot</t>
        </is>
      </c>
      <c r="H66" s="147" t="inlineStr">
        <is>
          <t>Solid output shaft</t>
        </is>
      </c>
      <c r="I66" s="147" t="inlineStr">
        <is>
          <t>IEC motor adaptor/input</t>
        </is>
      </c>
      <c r="J66" s="173" t="n">
        <v>1</v>
      </c>
      <c r="K66" s="174" t="n">
        <v>274.3</v>
      </c>
      <c r="L66" s="174" t="n">
        <v>274.3</v>
      </c>
      <c r="M66" s="141" t="inlineStr">
        <is>
          <t>TBC</t>
        </is>
      </c>
      <c r="N66" s="175" t="inlineStr">
        <is>
          <t>Quote reducer-only and complete gearmotor alternatives || OFFERED: İ.Mak İRAP 63 i=29.85 + IEC 80 B5 input (code 155) | Catalogue ratio i=29.85 (n2≈46 rpm), Sf 3.22 at 0.75 kW; Gearmotor alternative: İRAM 63 / 80 M 4b (available on request)</t>
        </is>
      </c>
    </row>
    <row r="67">
      <c r="A67" s="138" t="inlineStr">
        <is>
          <t>GB-061</t>
        </is>
      </c>
      <c r="B67" s="147" t="inlineStr">
        <is>
          <t>Helical Inline</t>
        </is>
      </c>
      <c r="C67" s="147" t="inlineStr">
        <is>
          <t>R / Equivalent</t>
        </is>
      </c>
      <c r="D67" s="147" t="inlineStr">
        <is>
          <t>Supplier selection</t>
        </is>
      </c>
      <c r="E67" s="147" t="n">
        <v>0.75</v>
      </c>
      <c r="F67" s="147" t="inlineStr">
        <is>
          <t>1:40</t>
        </is>
      </c>
      <c r="G67" s="147" t="inlineStr">
        <is>
          <t>B3 foot</t>
        </is>
      </c>
      <c r="H67" s="147" t="inlineStr">
        <is>
          <t>Solid output shaft</t>
        </is>
      </c>
      <c r="I67" s="147" t="inlineStr">
        <is>
          <t>IEC motor adaptor/input</t>
        </is>
      </c>
      <c r="J67" s="173" t="n">
        <v>1</v>
      </c>
      <c r="K67" s="174" t="n">
        <v>371.15</v>
      </c>
      <c r="L67" s="174" t="n">
        <v>371.15</v>
      </c>
      <c r="M67" s="141" t="inlineStr">
        <is>
          <t>TBC</t>
        </is>
      </c>
      <c r="N67" s="175" t="inlineStr">
        <is>
          <t>Quote reducer-only and complete gearmotor alternatives || OFFERED: İ.Mak İRAP 731 i=39.88 + IEC 80 B5 input (code 155) | Catalogue ratio i=39.88 (n2≈35 rpm), Sf 3.22 at 0.75 kW; Gearmotor alternative: İRAM 731 / 80 M 4b (available on request)</t>
        </is>
      </c>
    </row>
    <row r="68">
      <c r="A68" s="138" t="inlineStr">
        <is>
          <t>GB-062</t>
        </is>
      </c>
      <c r="B68" s="147" t="inlineStr">
        <is>
          <t>Helical Inline</t>
        </is>
      </c>
      <c r="C68" s="147" t="inlineStr">
        <is>
          <t>R / Equivalent</t>
        </is>
      </c>
      <c r="D68" s="147" t="inlineStr">
        <is>
          <t>Supplier selection</t>
        </is>
      </c>
      <c r="E68" s="147" t="n">
        <v>1.1</v>
      </c>
      <c r="F68" s="147" t="inlineStr">
        <is>
          <t>1:10</t>
        </is>
      </c>
      <c r="G68" s="147" t="inlineStr">
        <is>
          <t>B3 foot</t>
        </is>
      </c>
      <c r="H68" s="147" t="inlineStr">
        <is>
          <t>Solid output shaft</t>
        </is>
      </c>
      <c r="I68" s="147" t="inlineStr">
        <is>
          <t>IEC motor adaptor/input</t>
        </is>
      </c>
      <c r="J68" s="173" t="n">
        <v>1</v>
      </c>
      <c r="K68" s="174" t="n">
        <v>180.05</v>
      </c>
      <c r="L68" s="174" t="n">
        <v>180.05</v>
      </c>
      <c r="M68" s="141" t="inlineStr">
        <is>
          <t>TBC</t>
        </is>
      </c>
      <c r="N68" s="175" t="inlineStr">
        <is>
          <t>Quote reducer-only and complete gearmotor alternatives || OFFERED: İ.Mak İRAP 52 i=9.47 + IEC 90 B5 input (code 155) | Catalogue ratio i=9.47 (n2≈147 rpm), Sf 2.2 at 1.1 kW; Gearmotor alternative: İRAM 52 / 90 S 4a (available on request)</t>
        </is>
      </c>
    </row>
    <row r="69">
      <c r="A69" s="138" t="inlineStr">
        <is>
          <t>GB-063</t>
        </is>
      </c>
      <c r="B69" s="147" t="inlineStr">
        <is>
          <t>Helical Inline</t>
        </is>
      </c>
      <c r="C69" s="147" t="inlineStr">
        <is>
          <t>R / Equivalent</t>
        </is>
      </c>
      <c r="D69" s="147" t="inlineStr">
        <is>
          <t>Supplier selection</t>
        </is>
      </c>
      <c r="E69" s="147" t="n">
        <v>1.1</v>
      </c>
      <c r="F69" s="147" t="inlineStr">
        <is>
          <t>1:15</t>
        </is>
      </c>
      <c r="G69" s="147" t="inlineStr">
        <is>
          <t>B3 foot</t>
        </is>
      </c>
      <c r="H69" s="147" t="inlineStr">
        <is>
          <t>Solid output shaft</t>
        </is>
      </c>
      <c r="I69" s="147" t="inlineStr">
        <is>
          <t>IEC motor adaptor/input</t>
        </is>
      </c>
      <c r="J69" s="173" t="n">
        <v>1</v>
      </c>
      <c r="K69" s="174" t="n">
        <v>265.85</v>
      </c>
      <c r="L69" s="174" t="n">
        <v>265.85</v>
      </c>
      <c r="M69" s="141" t="inlineStr">
        <is>
          <t>TBC</t>
        </is>
      </c>
      <c r="N69" s="175" t="inlineStr">
        <is>
          <t>Quote reducer-only and complete gearmotor alternatives || OFFERED: İ.Mak İRAP 62 i=15.13 + IEC 90 B5 input (code 155) | Catalogue ratio i=15.13 (n2≈92 rpm), Sf 3.75 at 1.1 kW; Gearmotor alternative: İRAM 62 / 90 S 4a (available on request)</t>
        </is>
      </c>
    </row>
    <row r="70">
      <c r="A70" s="138" t="inlineStr">
        <is>
          <t>GB-064</t>
        </is>
      </c>
      <c r="B70" s="147" t="inlineStr">
        <is>
          <t>Helical Inline</t>
        </is>
      </c>
      <c r="C70" s="147" t="inlineStr">
        <is>
          <t>R / Equivalent</t>
        </is>
      </c>
      <c r="D70" s="147" t="inlineStr">
        <is>
          <t>Supplier selection</t>
        </is>
      </c>
      <c r="E70" s="147" t="n">
        <v>1.1</v>
      </c>
      <c r="F70" s="147" t="inlineStr">
        <is>
          <t>1:20</t>
        </is>
      </c>
      <c r="G70" s="147" t="inlineStr">
        <is>
          <t>B3 foot</t>
        </is>
      </c>
      <c r="H70" s="147" t="inlineStr">
        <is>
          <t>Solid output shaft</t>
        </is>
      </c>
      <c r="I70" s="147" t="inlineStr">
        <is>
          <t>IEC motor adaptor/input</t>
        </is>
      </c>
      <c r="J70" s="173" t="n">
        <v>1</v>
      </c>
      <c r="K70" s="174" t="n">
        <v>274.3</v>
      </c>
      <c r="L70" s="174" t="n">
        <v>274.3</v>
      </c>
      <c r="M70" s="141" t="inlineStr">
        <is>
          <t>TBC</t>
        </is>
      </c>
      <c r="N70" s="175" t="inlineStr">
        <is>
          <t>Quote reducer-only and complete gearmotor alternatives || OFFERED: İ.Mak İRAP 63 i=20.53 + IEC 90 B5 input (code 155) | Catalogue ratio i=20.53 (n2≈68 rpm), Sf 3.2 at 1.1 kW; Gearmotor alternative: İRAM 63 / 90 S 4a (available on request)</t>
        </is>
      </c>
    </row>
    <row r="71">
      <c r="A71" s="138" t="inlineStr">
        <is>
          <t>GB-065</t>
        </is>
      </c>
      <c r="B71" s="147" t="inlineStr">
        <is>
          <t>Helical Inline</t>
        </is>
      </c>
      <c r="C71" s="147" t="inlineStr">
        <is>
          <t>R / Equivalent</t>
        </is>
      </c>
      <c r="D71" s="147" t="inlineStr">
        <is>
          <t>Supplier selection</t>
        </is>
      </c>
      <c r="E71" s="147" t="n">
        <v>1.1</v>
      </c>
      <c r="F71" s="147" t="inlineStr">
        <is>
          <t>1:30</t>
        </is>
      </c>
      <c r="G71" s="147" t="inlineStr">
        <is>
          <t>B3 foot</t>
        </is>
      </c>
      <c r="H71" s="147" t="inlineStr">
        <is>
          <t>Solid output shaft</t>
        </is>
      </c>
      <c r="I71" s="147" t="inlineStr">
        <is>
          <t>IEC motor adaptor/input</t>
        </is>
      </c>
      <c r="J71" s="173" t="n">
        <v>1</v>
      </c>
      <c r="K71" s="174" t="n">
        <v>274.3</v>
      </c>
      <c r="L71" s="174" t="n">
        <v>274.3</v>
      </c>
      <c r="M71" s="141" t="inlineStr">
        <is>
          <t>TBC</t>
        </is>
      </c>
      <c r="N71" s="175" t="inlineStr">
        <is>
          <t>Quote reducer-only and complete gearmotor alternatives || OFFERED: İ.Mak İRAP 63 i=29.85 + IEC 90 B5 input (code 155) | Catalogue ratio i=29.85 (n2≈46 rpm), Sf 2.19 at 1.1 kW; Gearmotor alternative: İRAM 63 / 90 S 4a (available on request)</t>
        </is>
      </c>
    </row>
    <row r="72">
      <c r="A72" s="138" t="inlineStr">
        <is>
          <t>GB-066</t>
        </is>
      </c>
      <c r="B72" s="147" t="inlineStr">
        <is>
          <t>Helical Inline</t>
        </is>
      </c>
      <c r="C72" s="147" t="inlineStr">
        <is>
          <t>R / Equivalent</t>
        </is>
      </c>
      <c r="D72" s="147" t="inlineStr">
        <is>
          <t>Supplier selection</t>
        </is>
      </c>
      <c r="E72" s="147" t="n">
        <v>1.1</v>
      </c>
      <c r="F72" s="147" t="inlineStr">
        <is>
          <t>1:40</t>
        </is>
      </c>
      <c r="G72" s="147" t="inlineStr">
        <is>
          <t>B3 foot</t>
        </is>
      </c>
      <c r="H72" s="147" t="inlineStr">
        <is>
          <t>Solid output shaft</t>
        </is>
      </c>
      <c r="I72" s="147" t="inlineStr">
        <is>
          <t>IEC motor adaptor/input</t>
        </is>
      </c>
      <c r="J72" s="173" t="n">
        <v>1</v>
      </c>
      <c r="K72" s="174" t="n">
        <v>415.35</v>
      </c>
      <c r="L72" s="174" t="n">
        <v>415.35</v>
      </c>
      <c r="M72" s="141" t="inlineStr">
        <is>
          <t>TBC</t>
        </is>
      </c>
      <c r="N72" s="175" t="inlineStr">
        <is>
          <t>Quote reducer-only and complete gearmotor alternatives || OFFERED: İ.Mak İRAP 73 i=41.66 + IEC 90 B5 input (code 155) | Catalogue ratio i=41.66 (n2≈33 rpm), Sf 2.79 at 1.1 kW; Gearmotor alternative: İRAM 73 / 90 S 4a (available on request)</t>
        </is>
      </c>
    </row>
    <row r="73">
      <c r="A73" s="138" t="inlineStr">
        <is>
          <t>GB-067</t>
        </is>
      </c>
      <c r="B73" s="147" t="inlineStr">
        <is>
          <t>Helical Inline</t>
        </is>
      </c>
      <c r="C73" s="147" t="inlineStr">
        <is>
          <t>R / Equivalent</t>
        </is>
      </c>
      <c r="D73" s="147" t="inlineStr">
        <is>
          <t>Supplier selection</t>
        </is>
      </c>
      <c r="E73" s="147" t="n">
        <v>1.5</v>
      </c>
      <c r="F73" s="147" t="inlineStr">
        <is>
          <t>1:10</t>
        </is>
      </c>
      <c r="G73" s="147" t="inlineStr">
        <is>
          <t>B3 foot</t>
        </is>
      </c>
      <c r="H73" s="147" t="inlineStr">
        <is>
          <t>Solid output shaft</t>
        </is>
      </c>
      <c r="I73" s="147" t="inlineStr">
        <is>
          <t>IEC motor adaptor/input</t>
        </is>
      </c>
      <c r="J73" s="173" t="n">
        <v>2</v>
      </c>
      <c r="K73" s="174" t="n">
        <v>265.85</v>
      </c>
      <c r="L73" s="174" t="n">
        <v>531.7</v>
      </c>
      <c r="M73" s="141" t="inlineStr">
        <is>
          <t>TBC</t>
        </is>
      </c>
      <c r="N73" s="175" t="inlineStr">
        <is>
          <t>Quote reducer-only and complete gearmotor alternatives || OFFERED: İ.Mak İRAP 62 i=10.07 + IEC 90 B5 input (code 155) | Catalogue ratio i=10.07 (n2≈138 rpm), Sf 3.81 at 1.5 kW; Gearmotor alternative: İRAM 62 / 90 L 4a (available on request)</t>
        </is>
      </c>
    </row>
    <row r="74">
      <c r="A74" s="138" t="inlineStr">
        <is>
          <t>GB-068</t>
        </is>
      </c>
      <c r="B74" s="147" t="inlineStr">
        <is>
          <t>Helical Inline</t>
        </is>
      </c>
      <c r="C74" s="147" t="inlineStr">
        <is>
          <t>R / Equivalent</t>
        </is>
      </c>
      <c r="D74" s="147" t="inlineStr">
        <is>
          <t>Supplier selection</t>
        </is>
      </c>
      <c r="E74" s="147" t="n">
        <v>1.5</v>
      </c>
      <c r="F74" s="147" t="inlineStr">
        <is>
          <t>1:20</t>
        </is>
      </c>
      <c r="G74" s="147" t="inlineStr">
        <is>
          <t>B3 foot</t>
        </is>
      </c>
      <c r="H74" s="147" t="inlineStr">
        <is>
          <t>Solid output shaft</t>
        </is>
      </c>
      <c r="I74" s="147" t="inlineStr">
        <is>
          <t>IEC motor adaptor/input</t>
        </is>
      </c>
      <c r="J74" s="173" t="n">
        <v>2</v>
      </c>
      <c r="K74" s="174" t="n">
        <v>274.3</v>
      </c>
      <c r="L74" s="174" t="n">
        <v>548.6</v>
      </c>
      <c r="M74" s="141" t="inlineStr">
        <is>
          <t>TBC</t>
        </is>
      </c>
      <c r="N74" s="175" t="inlineStr">
        <is>
          <t>Quote reducer-only and complete gearmotor alternatives || OFFERED: İ.Mak İRAP 63 i=20.53 + IEC 90 B5 input (code 155) | Catalogue ratio i=20.53 (n2≈68 rpm), Sf 2.34 at 1.5 kW; Gearmotor alternative: İRAM 63 / 90 L 4a (available on request)</t>
        </is>
      </c>
    </row>
    <row r="75">
      <c r="A75" s="138" t="inlineStr">
        <is>
          <t>GB-069</t>
        </is>
      </c>
      <c r="B75" s="147" t="inlineStr">
        <is>
          <t>Helical Inline</t>
        </is>
      </c>
      <c r="C75" s="147" t="inlineStr">
        <is>
          <t>R / Equivalent</t>
        </is>
      </c>
      <c r="D75" s="147" t="inlineStr">
        <is>
          <t>Supplier selection</t>
        </is>
      </c>
      <c r="E75" s="147" t="n">
        <v>1.5</v>
      </c>
      <c r="F75" s="147" t="inlineStr">
        <is>
          <t>1:30</t>
        </is>
      </c>
      <c r="G75" s="147" t="inlineStr">
        <is>
          <t>B3 foot</t>
        </is>
      </c>
      <c r="H75" s="147" t="inlineStr">
        <is>
          <t>Solid output shaft</t>
        </is>
      </c>
      <c r="I75" s="147" t="inlineStr">
        <is>
          <t>IEC motor adaptor/input</t>
        </is>
      </c>
      <c r="J75" s="173" t="n">
        <v>1</v>
      </c>
      <c r="K75" s="174" t="n">
        <v>274.3</v>
      </c>
      <c r="L75" s="174" t="n">
        <v>274.3</v>
      </c>
      <c r="M75" s="141" t="inlineStr">
        <is>
          <t>TBC</t>
        </is>
      </c>
      <c r="N75" s="175" t="inlineStr">
        <is>
          <t>Quote reducer-only and complete gearmotor alternatives || OFFERED: İ.Mak İRAP 63 i=29.85 + IEC 90 B5 input (code 155) | Catalogue ratio i=29.85 (n2≈46 rpm), Sf 1.61 at 1.5 kW; Gearmotor alternative: İRAM 63 / 90 L 4a (available on request)</t>
        </is>
      </c>
    </row>
    <row r="76">
      <c r="A76" s="138" t="inlineStr">
        <is>
          <t>GB-070</t>
        </is>
      </c>
      <c r="B76" s="147" t="inlineStr">
        <is>
          <t>Helical Inline</t>
        </is>
      </c>
      <c r="C76" s="147" t="inlineStr">
        <is>
          <t>R / Equivalent</t>
        </is>
      </c>
      <c r="D76" s="147" t="inlineStr">
        <is>
          <t>Supplier selection</t>
        </is>
      </c>
      <c r="E76" s="147" t="n">
        <v>1.5</v>
      </c>
      <c r="F76" s="147" t="inlineStr">
        <is>
          <t>1:40</t>
        </is>
      </c>
      <c r="G76" s="147" t="inlineStr">
        <is>
          <t>B3 foot</t>
        </is>
      </c>
      <c r="H76" s="147" t="inlineStr">
        <is>
          <t>Solid output shaft</t>
        </is>
      </c>
      <c r="I76" s="147" t="inlineStr">
        <is>
          <t>IEC motor adaptor/input</t>
        </is>
      </c>
      <c r="J76" s="173" t="n">
        <v>1</v>
      </c>
      <c r="K76" s="174" t="n">
        <v>415.35</v>
      </c>
      <c r="L76" s="174" t="n">
        <v>415.35</v>
      </c>
      <c r="M76" s="141" t="inlineStr">
        <is>
          <t>TBC</t>
        </is>
      </c>
      <c r="N76" s="175" t="inlineStr">
        <is>
          <t>Quote reducer-only and complete gearmotor alternatives || OFFERED: İ.Mak İRAP 73 i=41.66 + IEC 90 B5 input (code 155) | Catalogue ratio i=41.66 (n2≈33 rpm), Sf 2.05 at 1.5 kW; Gearmotor alternative: İRAM 73 / 90 L 4a (available on request)</t>
        </is>
      </c>
    </row>
    <row r="77">
      <c r="A77" s="138" t="inlineStr">
        <is>
          <t>GB-071</t>
        </is>
      </c>
      <c r="B77" s="147" t="inlineStr">
        <is>
          <t>Helical Inline</t>
        </is>
      </c>
      <c r="C77" s="147" t="inlineStr">
        <is>
          <t>R / Equivalent</t>
        </is>
      </c>
      <c r="D77" s="147" t="inlineStr">
        <is>
          <t>Supplier selection</t>
        </is>
      </c>
      <c r="E77" s="147" t="n">
        <v>2.2</v>
      </c>
      <c r="F77" s="147" t="inlineStr">
        <is>
          <t>1:10</t>
        </is>
      </c>
      <c r="G77" s="147" t="inlineStr">
        <is>
          <t>B3 foot</t>
        </is>
      </c>
      <c r="H77" s="147" t="inlineStr">
        <is>
          <t>Solid output shaft</t>
        </is>
      </c>
      <c r="I77" s="147" t="inlineStr">
        <is>
          <t>IEC motor adaptor/input</t>
        </is>
      </c>
      <c r="J77" s="173" t="n">
        <v>1</v>
      </c>
      <c r="K77" s="174" t="n">
        <v>270.4</v>
      </c>
      <c r="L77" s="174" t="n">
        <v>270.4</v>
      </c>
      <c r="M77" s="141" t="inlineStr">
        <is>
          <t>TBC</t>
        </is>
      </c>
      <c r="N77" s="175" t="inlineStr">
        <is>
          <t>Quote reducer-only and complete gearmotor alternatives || OFFERED: İ.Mak İRAP 62 i=10.07 + IEC 100 B5 input (code 155) | Catalogue ratio i=10.07 (n2≈138 rpm), Sf 2.6 at 2.2 kW; Gearmotor alternative: İRAM 62 / 100 L 4a (available on request)</t>
        </is>
      </c>
    </row>
    <row r="78">
      <c r="A78" s="138" t="inlineStr">
        <is>
          <t>GB-072</t>
        </is>
      </c>
      <c r="B78" s="147" t="inlineStr">
        <is>
          <t>Helical Inline</t>
        </is>
      </c>
      <c r="C78" s="147" t="inlineStr">
        <is>
          <t>R / Equivalent</t>
        </is>
      </c>
      <c r="D78" s="147" t="inlineStr">
        <is>
          <t>Supplier selection</t>
        </is>
      </c>
      <c r="E78" s="147" t="n">
        <v>2.2</v>
      </c>
      <c r="F78" s="147" t="inlineStr">
        <is>
          <t>1:15</t>
        </is>
      </c>
      <c r="G78" s="147" t="inlineStr">
        <is>
          <t>B3 foot</t>
        </is>
      </c>
      <c r="H78" s="147" t="inlineStr">
        <is>
          <t>Solid output shaft</t>
        </is>
      </c>
      <c r="I78" s="147" t="inlineStr">
        <is>
          <t>IEC motor adaptor/input</t>
        </is>
      </c>
      <c r="J78" s="173" t="n">
        <v>1</v>
      </c>
      <c r="K78" s="174" t="n">
        <v>278.85</v>
      </c>
      <c r="L78" s="174" t="n">
        <v>278.85</v>
      </c>
      <c r="M78" s="141" t="inlineStr">
        <is>
          <t>TBC</t>
        </is>
      </c>
      <c r="N78" s="175" t="inlineStr">
        <is>
          <t>Quote reducer-only and complete gearmotor alternatives || OFFERED: İ.Mak İRAP 63 i=15.59 + IEC 100 B5 input (code 155) | Catalogue ratio i=15.59 (n2≈89 rpm), Sf 2.04 at 2.2 kW; Gearmotor alternative: İRAM 63 / 100 L 4a (available on request)</t>
        </is>
      </c>
    </row>
    <row r="79">
      <c r="A79" s="138" t="inlineStr">
        <is>
          <t>GB-073</t>
        </is>
      </c>
      <c r="B79" s="147" t="inlineStr">
        <is>
          <t>Helical Inline</t>
        </is>
      </c>
      <c r="C79" s="147" t="inlineStr">
        <is>
          <t>R / Equivalent</t>
        </is>
      </c>
      <c r="D79" s="147" t="inlineStr">
        <is>
          <t>Supplier selection</t>
        </is>
      </c>
      <c r="E79" s="147" t="n">
        <v>2.2</v>
      </c>
      <c r="F79" s="147" t="inlineStr">
        <is>
          <t>1:20</t>
        </is>
      </c>
      <c r="G79" s="147" t="inlineStr">
        <is>
          <t>B3 foot</t>
        </is>
      </c>
      <c r="H79" s="147" t="inlineStr">
        <is>
          <t>Solid output shaft</t>
        </is>
      </c>
      <c r="I79" s="147" t="inlineStr">
        <is>
          <t>IEC motor adaptor/input</t>
        </is>
      </c>
      <c r="J79" s="173" t="n">
        <v>1</v>
      </c>
      <c r="K79" s="174" t="n">
        <v>278.85</v>
      </c>
      <c r="L79" s="174" t="n">
        <v>278.85</v>
      </c>
      <c r="M79" s="141" t="inlineStr">
        <is>
          <t>TBC</t>
        </is>
      </c>
      <c r="N79" s="175" t="inlineStr">
        <is>
          <t>Quote reducer-only and complete gearmotor alternatives || OFFERED: İ.Mak İRAP 63 i=20.53 + IEC 100 B5 input (code 155) | Catalogue ratio i=20.53 (n2≈68 rpm), Sf 1.6 at 2.2 kW; Gearmotor alternative: İRAM 63 / 100 L 4a (available on request)</t>
        </is>
      </c>
    </row>
    <row r="80">
      <c r="A80" s="138" t="inlineStr">
        <is>
          <t>GB-074</t>
        </is>
      </c>
      <c r="B80" s="147" t="inlineStr">
        <is>
          <t>Helical Inline</t>
        </is>
      </c>
      <c r="C80" s="147" t="inlineStr">
        <is>
          <t>R / Equivalent</t>
        </is>
      </c>
      <c r="D80" s="147" t="inlineStr">
        <is>
          <t>Supplier selection</t>
        </is>
      </c>
      <c r="E80" s="147" t="n">
        <v>2.2</v>
      </c>
      <c r="F80" s="147" t="inlineStr">
        <is>
          <t>1:30</t>
        </is>
      </c>
      <c r="G80" s="147" t="inlineStr">
        <is>
          <t>B3 foot</t>
        </is>
      </c>
      <c r="H80" s="147" t="inlineStr">
        <is>
          <t>Solid output shaft</t>
        </is>
      </c>
      <c r="I80" s="147" t="inlineStr">
        <is>
          <t>IEC motor adaptor/input</t>
        </is>
      </c>
      <c r="J80" s="173" t="n">
        <v>1</v>
      </c>
      <c r="K80" s="174" t="n">
        <v>426.4</v>
      </c>
      <c r="L80" s="174" t="n">
        <v>426.4</v>
      </c>
      <c r="M80" s="141" t="inlineStr">
        <is>
          <t>TBC</t>
        </is>
      </c>
      <c r="N80" s="175" t="inlineStr">
        <is>
          <t>Quote reducer-only and complete gearmotor alternatives || OFFERED: İ.Mak İRAP 73 i=31.16 + IEC 100 B5 input (code 155) | Catalogue ratio i=31.16 (n2≈44 rpm), Sf 1.75 at 2.2 kW; Gearmotor alternative: İRAM 73 / 100 L 4a (available on request)</t>
        </is>
      </c>
    </row>
    <row r="81">
      <c r="A81" s="138" t="inlineStr">
        <is>
          <t>GB-075</t>
        </is>
      </c>
      <c r="B81" s="147" t="inlineStr">
        <is>
          <t>Helical Inline</t>
        </is>
      </c>
      <c r="C81" s="147" t="inlineStr">
        <is>
          <t>R / Equivalent</t>
        </is>
      </c>
      <c r="D81" s="147" t="inlineStr">
        <is>
          <t>Supplier selection</t>
        </is>
      </c>
      <c r="E81" s="147" t="n">
        <v>2.2</v>
      </c>
      <c r="F81" s="147" t="inlineStr">
        <is>
          <t>1:40</t>
        </is>
      </c>
      <c r="G81" s="147" t="inlineStr">
        <is>
          <t>B3 foot</t>
        </is>
      </c>
      <c r="H81" s="147" t="inlineStr">
        <is>
          <t>Solid output shaft</t>
        </is>
      </c>
      <c r="I81" s="147" t="inlineStr">
        <is>
          <t>IEC motor adaptor/input</t>
        </is>
      </c>
      <c r="J81" s="173" t="n">
        <v>1</v>
      </c>
      <c r="K81" s="174" t="n">
        <v>696.15</v>
      </c>
      <c r="L81" s="174" t="n">
        <v>696.15</v>
      </c>
      <c r="M81" s="141" t="inlineStr">
        <is>
          <t>TBC</t>
        </is>
      </c>
      <c r="N81" s="175" t="inlineStr">
        <is>
          <t>Quote reducer-only and complete gearmotor alternatives || OFFERED: İ.Mak İRAP 83 i=41.22 + IEC 100 B5 input (code 155) | Catalogue ratio i=41.22 (n2≈33 rpm), Sf 2.45 at 2.2 kW; Gearmotor alternative: İRAM 83 / 100 L 4a (available on request)</t>
        </is>
      </c>
    </row>
    <row r="82">
      <c r="A82" s="138" t="inlineStr">
        <is>
          <t>GB-076</t>
        </is>
      </c>
      <c r="B82" s="147" t="inlineStr">
        <is>
          <t>Helical Inline</t>
        </is>
      </c>
      <c r="C82" s="147" t="inlineStr">
        <is>
          <t>R / Equivalent</t>
        </is>
      </c>
      <c r="D82" s="147" t="inlineStr">
        <is>
          <t>Supplier selection</t>
        </is>
      </c>
      <c r="E82" s="147" t="n">
        <v>3</v>
      </c>
      <c r="F82" s="147" t="inlineStr">
        <is>
          <t>1:10</t>
        </is>
      </c>
      <c r="G82" s="147" t="inlineStr">
        <is>
          <t>B5 flange</t>
        </is>
      </c>
      <c r="H82" s="147" t="inlineStr">
        <is>
          <t>Solid output shaft</t>
        </is>
      </c>
      <c r="I82" s="147" t="inlineStr">
        <is>
          <t>IEC motor adaptor/input</t>
        </is>
      </c>
      <c r="J82" s="173" t="n">
        <v>1</v>
      </c>
      <c r="K82" s="174" t="n">
        <v>297.05</v>
      </c>
      <c r="L82" s="174" t="n">
        <v>297.05</v>
      </c>
      <c r="M82" s="141" t="inlineStr">
        <is>
          <t>TBC</t>
        </is>
      </c>
      <c r="N82" s="175" t="inlineStr">
        <is>
          <t>Quote reducer-only and complete gearmotor alternatives || OFFERED: İ.Mak İRFP 62 i=10.07 + IEC 100 B5 input (code 155) | Catalogue ratio i=10.07 (n2≈138 rpm), Sf 1.9 at 3 kW; Gearmotor alternative: İRFM 62 / 100 L 4b (available on request)</t>
        </is>
      </c>
    </row>
    <row r="83">
      <c r="A83" s="138" t="inlineStr">
        <is>
          <t>GB-077</t>
        </is>
      </c>
      <c r="B83" s="147" t="inlineStr">
        <is>
          <t>Helical Inline</t>
        </is>
      </c>
      <c r="C83" s="147" t="inlineStr">
        <is>
          <t>R / Equivalent</t>
        </is>
      </c>
      <c r="D83" s="147" t="inlineStr">
        <is>
          <t>Supplier selection</t>
        </is>
      </c>
      <c r="E83" s="147" t="n">
        <v>3</v>
      </c>
      <c r="F83" s="147" t="inlineStr">
        <is>
          <t>1:20</t>
        </is>
      </c>
      <c r="G83" s="147" t="inlineStr">
        <is>
          <t>B5 flange</t>
        </is>
      </c>
      <c r="H83" s="147" t="inlineStr">
        <is>
          <t>Solid output shaft</t>
        </is>
      </c>
      <c r="I83" s="147" t="inlineStr">
        <is>
          <t>IEC motor adaptor/input</t>
        </is>
      </c>
      <c r="J83" s="173" t="n">
        <v>1</v>
      </c>
      <c r="K83" s="174" t="n">
        <v>468.65</v>
      </c>
      <c r="L83" s="174" t="n">
        <v>468.65</v>
      </c>
      <c r="M83" s="141" t="inlineStr">
        <is>
          <t>TBC</t>
        </is>
      </c>
      <c r="N83" s="175" t="inlineStr">
        <is>
          <t>Quote reducer-only and complete gearmotor alternatives || OFFERED: İ.Mak İRFP 73 i=20.29 + IEC 100 B5 input (code 155) | Catalogue ratio i=20.29 (n2≈68 rpm), Sf 2.01 at 3 kW; Gearmotor alternative: İRFM 73 / 100 L 4b (available on request)</t>
        </is>
      </c>
    </row>
    <row r="84">
      <c r="A84" s="138" t="inlineStr">
        <is>
          <t>GB-078</t>
        </is>
      </c>
      <c r="B84" s="147" t="inlineStr">
        <is>
          <t>Helical Inline</t>
        </is>
      </c>
      <c r="C84" s="147" t="inlineStr">
        <is>
          <t>R / Equivalent</t>
        </is>
      </c>
      <c r="D84" s="147" t="inlineStr">
        <is>
          <t>Supplier selection</t>
        </is>
      </c>
      <c r="E84" s="147" t="n">
        <v>3</v>
      </c>
      <c r="F84" s="147" t="inlineStr">
        <is>
          <t>1:30</t>
        </is>
      </c>
      <c r="G84" s="147" t="inlineStr">
        <is>
          <t>B5 flange</t>
        </is>
      </c>
      <c r="H84" s="147" t="inlineStr">
        <is>
          <t>Solid output shaft</t>
        </is>
      </c>
      <c r="I84" s="147" t="inlineStr">
        <is>
          <t>IEC motor adaptor/input</t>
        </is>
      </c>
      <c r="J84" s="173" t="n">
        <v>1</v>
      </c>
      <c r="K84" s="174" t="n">
        <v>765.7</v>
      </c>
      <c r="L84" s="174" t="n">
        <v>765.7</v>
      </c>
      <c r="M84" s="141" t="inlineStr">
        <is>
          <t>TBC</t>
        </is>
      </c>
      <c r="N84" s="175" t="inlineStr">
        <is>
          <t>Quote reducer-only and complete gearmotor alternatives || OFFERED: İ.Mak İRFP 83 i=30.08 + IEC 100 B5 input (code 155) | Catalogue ratio i=30.08 (n2≈46 rpm), Sf 2.55 at 3 kW; Gearmotor alternative: İRFM 83 / 100 L 4b (available on request)</t>
        </is>
      </c>
    </row>
    <row r="85">
      <c r="A85" s="138" t="inlineStr">
        <is>
          <t>GB-079</t>
        </is>
      </c>
      <c r="B85" s="147" t="inlineStr">
        <is>
          <t>Helical Inline</t>
        </is>
      </c>
      <c r="C85" s="147" t="inlineStr">
        <is>
          <t>R / Equivalent</t>
        </is>
      </c>
      <c r="D85" s="147" t="inlineStr">
        <is>
          <t>Supplier selection</t>
        </is>
      </c>
      <c r="E85" s="147" t="n">
        <v>3</v>
      </c>
      <c r="F85" s="147" t="inlineStr">
        <is>
          <t>1:40</t>
        </is>
      </c>
      <c r="G85" s="147" t="inlineStr">
        <is>
          <t>B5 flange</t>
        </is>
      </c>
      <c r="H85" s="147" t="inlineStr">
        <is>
          <t>Solid output shaft</t>
        </is>
      </c>
      <c r="I85" s="147" t="inlineStr">
        <is>
          <t>IEC motor adaptor/input</t>
        </is>
      </c>
      <c r="J85" s="173" t="n">
        <v>1</v>
      </c>
      <c r="K85" s="174" t="n">
        <v>765.7</v>
      </c>
      <c r="L85" s="174" t="n">
        <v>765.7</v>
      </c>
      <c r="M85" s="141" t="inlineStr">
        <is>
          <t>TBC</t>
        </is>
      </c>
      <c r="N85" s="175" t="inlineStr">
        <is>
          <t>Quote reducer-only and complete gearmotor alternatives || OFFERED: İ.Mak İRFP 83 i=41.22 + IEC 100 B5 input (code 155) | Catalogue ratio i=41.22 (n2≈33 rpm), Sf 1.8 at 3 kW; Gearmotor alternative: İRFM 83 / 100 L 4b (available on request)</t>
        </is>
      </c>
    </row>
    <row r="86">
      <c r="A86" s="138" t="inlineStr">
        <is>
          <t>GB-080</t>
        </is>
      </c>
      <c r="B86" s="147" t="inlineStr">
        <is>
          <t>Helical Inline</t>
        </is>
      </c>
      <c r="C86" s="147" t="inlineStr">
        <is>
          <t>R / Equivalent</t>
        </is>
      </c>
      <c r="D86" s="147" t="inlineStr">
        <is>
          <t>Supplier selection</t>
        </is>
      </c>
      <c r="E86" s="147" t="n">
        <v>4</v>
      </c>
      <c r="F86" s="147" t="inlineStr">
        <is>
          <t>1:10</t>
        </is>
      </c>
      <c r="G86" s="147" t="inlineStr">
        <is>
          <t>B5 flange</t>
        </is>
      </c>
      <c r="H86" s="147" t="inlineStr">
        <is>
          <t>Solid output shaft</t>
        </is>
      </c>
      <c r="I86" s="147" t="inlineStr">
        <is>
          <t>IEC motor adaptor/input</t>
        </is>
      </c>
      <c r="J86" s="173" t="n">
        <v>1</v>
      </c>
      <c r="K86" s="174" t="n">
        <v>407.55</v>
      </c>
      <c r="L86" s="174" t="n">
        <v>407.55</v>
      </c>
      <c r="M86" s="141" t="inlineStr">
        <is>
          <t>TBC</t>
        </is>
      </c>
      <c r="N86" s="175" t="inlineStr">
        <is>
          <t>Quote reducer-only and complete gearmotor alternatives || OFFERED: İ.Mak İRFP 721 i=9.866 + IEC 112 B5 input (code 155) | Catalogue ratio i=9.866 (n2≈141 rpm), Sf 1.8 at 4 kW; Gearmotor alternative: İRFM 721 / 112 M 4b (available on request)</t>
        </is>
      </c>
    </row>
    <row r="87">
      <c r="A87" s="138" t="inlineStr">
        <is>
          <t>GB-081</t>
        </is>
      </c>
      <c r="B87" s="147" t="inlineStr">
        <is>
          <t>Helical Inline</t>
        </is>
      </c>
      <c r="C87" s="147" t="inlineStr">
        <is>
          <t>R / Equivalent</t>
        </is>
      </c>
      <c r="D87" s="147" t="inlineStr">
        <is>
          <t>Supplier selection</t>
        </is>
      </c>
      <c r="E87" s="147" t="n">
        <v>4</v>
      </c>
      <c r="F87" s="147" t="inlineStr">
        <is>
          <t>1:20</t>
        </is>
      </c>
      <c r="G87" s="147" t="inlineStr">
        <is>
          <t>B5 flange</t>
        </is>
      </c>
      <c r="H87" s="147" t="inlineStr">
        <is>
          <t>Solid output shaft</t>
        </is>
      </c>
      <c r="I87" s="147" t="inlineStr">
        <is>
          <t>IEC motor adaptor/input</t>
        </is>
      </c>
      <c r="J87" s="173" t="n">
        <v>1</v>
      </c>
      <c r="K87" s="174" t="n">
        <v>468.65</v>
      </c>
      <c r="L87" s="174" t="n">
        <v>468.65</v>
      </c>
      <c r="M87" s="141" t="inlineStr">
        <is>
          <t>TBC</t>
        </is>
      </c>
      <c r="N87" s="175" t="inlineStr">
        <is>
          <t>Quote reducer-only and complete gearmotor alternatives || OFFERED: İ.Mak İRFP 73 i=20.29 + IEC 112 B5 input (code 155) | Catalogue ratio i=20.29 (n2≈68 rpm), Sf 1.51 at 4 kW; Gearmotor alternative: İRFM 73 / 112 M 4b (available on request)</t>
        </is>
      </c>
    </row>
    <row r="88">
      <c r="A88" s="138" t="inlineStr">
        <is>
          <t>GB-082</t>
        </is>
      </c>
      <c r="B88" s="147" t="inlineStr">
        <is>
          <t>Helical Inline</t>
        </is>
      </c>
      <c r="C88" s="147" t="inlineStr">
        <is>
          <t>R / Equivalent</t>
        </is>
      </c>
      <c r="D88" s="147" t="inlineStr">
        <is>
          <t>Supplier selection</t>
        </is>
      </c>
      <c r="E88" s="147" t="n">
        <v>4</v>
      </c>
      <c r="F88" s="147" t="inlineStr">
        <is>
          <t>1:30</t>
        </is>
      </c>
      <c r="G88" s="147" t="inlineStr">
        <is>
          <t>B5 flange</t>
        </is>
      </c>
      <c r="H88" s="147" t="inlineStr">
        <is>
          <t>Solid output shaft</t>
        </is>
      </c>
      <c r="I88" s="147" t="inlineStr">
        <is>
          <t>IEC motor adaptor/input</t>
        </is>
      </c>
      <c r="J88" s="173" t="n">
        <v>1</v>
      </c>
      <c r="K88" s="174" t="n">
        <v>765.7</v>
      </c>
      <c r="L88" s="174" t="n">
        <v>765.7</v>
      </c>
      <c r="M88" s="141" t="inlineStr">
        <is>
          <t>TBC</t>
        </is>
      </c>
      <c r="N88" s="175" t="inlineStr">
        <is>
          <t>Quote reducer-only and complete gearmotor alternatives || OFFERED: İ.Mak İRFP 83 i=30.08 + IEC 112 B5 input (code 155) | Catalogue ratio i=30.08 (n2≈46 rpm), Sf 1.91 at 4 kW; Gearmotor alternative: İRFM 83 / 112 M 4b (available on request)</t>
        </is>
      </c>
    </row>
    <row r="89">
      <c r="A89" s="138" t="inlineStr">
        <is>
          <t>GB-083</t>
        </is>
      </c>
      <c r="B89" s="147" t="inlineStr">
        <is>
          <t>Helical Inline</t>
        </is>
      </c>
      <c r="C89" s="147" t="inlineStr">
        <is>
          <t>R / Equivalent</t>
        </is>
      </c>
      <c r="D89" s="147" t="inlineStr">
        <is>
          <t>Supplier selection</t>
        </is>
      </c>
      <c r="E89" s="147" t="n">
        <v>5.5</v>
      </c>
      <c r="F89" s="147" t="inlineStr">
        <is>
          <t>1:10</t>
        </is>
      </c>
      <c r="G89" s="147" t="inlineStr">
        <is>
          <t>B5 flange</t>
        </is>
      </c>
      <c r="H89" s="147" t="inlineStr">
        <is>
          <t>Solid output shaft</t>
        </is>
      </c>
      <c r="I89" s="147" t="inlineStr">
        <is>
          <t>IEC motor adaptor/input</t>
        </is>
      </c>
      <c r="J89" s="173" t="n">
        <v>1</v>
      </c>
      <c r="K89" s="174" t="n">
        <v>759.2</v>
      </c>
      <c r="L89" s="174" t="n">
        <v>759.2</v>
      </c>
      <c r="M89" s="141" t="inlineStr">
        <is>
          <t>TBC</t>
        </is>
      </c>
      <c r="N89" s="175" t="inlineStr">
        <is>
          <t>Quote reducer-only and complete gearmotor alternatives || OFFERED: İ.Mak İRFP 82 i=9.689 + IEC 132 B5 input (code 155) | Catalogue ratio i=9.689 (n2≈144 rpm), Sf 3.38 at 5.5 kW; Gearmotor alternative: İRFM 82 / 132 S 4a (available on request)</t>
        </is>
      </c>
    </row>
    <row r="90">
      <c r="A90" s="138" t="inlineStr">
        <is>
          <t>GB-084</t>
        </is>
      </c>
      <c r="B90" s="147" t="inlineStr">
        <is>
          <t>Helical Inline</t>
        </is>
      </c>
      <c r="C90" s="147" t="inlineStr">
        <is>
          <t>R / Equivalent</t>
        </is>
      </c>
      <c r="D90" s="147" t="inlineStr">
        <is>
          <t>Supplier selection</t>
        </is>
      </c>
      <c r="E90" s="147" t="n">
        <v>5.5</v>
      </c>
      <c r="F90" s="147" t="inlineStr">
        <is>
          <t>1:20</t>
        </is>
      </c>
      <c r="G90" s="147" t="inlineStr">
        <is>
          <t>B5 flange</t>
        </is>
      </c>
      <c r="H90" s="147" t="inlineStr">
        <is>
          <t>Solid output shaft</t>
        </is>
      </c>
      <c r="I90" s="147" t="inlineStr">
        <is>
          <t>IEC motor adaptor/input</t>
        </is>
      </c>
      <c r="J90" s="173" t="n">
        <v>1</v>
      </c>
      <c r="K90" s="174" t="n">
        <v>776.1</v>
      </c>
      <c r="L90" s="174" t="n">
        <v>776.1</v>
      </c>
      <c r="M90" s="141" t="inlineStr">
        <is>
          <t>TBC</t>
        </is>
      </c>
      <c r="N90" s="175" t="inlineStr">
        <is>
          <t>Quote reducer-only and complete gearmotor alternatives || OFFERED: İ.Mak İRFP 83 i=20.26 + IEC 132 B5 input (code 155) | Catalogue ratio i=20.26 (n2≈69 rpm), Sf 2.0 at 5.5 kW; Gearmotor alternative: İRFM 83 / 132 S 4a (available on request)</t>
        </is>
      </c>
    </row>
    <row r="91">
      <c r="A91" s="138" t="inlineStr">
        <is>
          <t>GB-085</t>
        </is>
      </c>
      <c r="B91" s="147" t="inlineStr">
        <is>
          <t>Helical Inline</t>
        </is>
      </c>
      <c r="C91" s="147" t="inlineStr">
        <is>
          <t>R / Equivalent</t>
        </is>
      </c>
      <c r="D91" s="147" t="inlineStr">
        <is>
          <t>Supplier selection</t>
        </is>
      </c>
      <c r="E91" s="147" t="n">
        <v>5.5</v>
      </c>
      <c r="F91" s="147" t="inlineStr">
        <is>
          <t>1:30</t>
        </is>
      </c>
      <c r="G91" s="147" t="inlineStr">
        <is>
          <t>B5 flange</t>
        </is>
      </c>
      <c r="H91" s="147" t="inlineStr">
        <is>
          <t>Solid output shaft</t>
        </is>
      </c>
      <c r="I91" s="147" t="inlineStr">
        <is>
          <t>IEC motor adaptor/input</t>
        </is>
      </c>
      <c r="J91" s="173" t="n">
        <v>1</v>
      </c>
      <c r="K91" s="174" t="n">
        <v>1008.15</v>
      </c>
      <c r="L91" s="174" t="n">
        <v>1008.15</v>
      </c>
      <c r="M91" s="141" t="inlineStr">
        <is>
          <t>TBC</t>
        </is>
      </c>
      <c r="N91" s="175" t="inlineStr">
        <is>
          <t>Quote reducer-only and complete gearmotor alternatives || OFFERED: İ.Mak İRFP 93 i=29.52 + IEC 132 B5 input (code 155) | Catalogue ratio i=29.52 (n2≈47 rpm), Sf 2.62 at 5.5 kW; Gearmotor alternative: İRFM 93 / 132 S 4a (available on request)</t>
        </is>
      </c>
    </row>
    <row r="92">
      <c r="A92" s="138" t="inlineStr">
        <is>
          <t>GB-086</t>
        </is>
      </c>
      <c r="B92" s="147" t="inlineStr">
        <is>
          <t>Helical Inline</t>
        </is>
      </c>
      <c r="C92" s="147" t="inlineStr">
        <is>
          <t>R / Equivalent</t>
        </is>
      </c>
      <c r="D92" s="147" t="inlineStr">
        <is>
          <t>Supplier selection</t>
        </is>
      </c>
      <c r="E92" s="147" t="n">
        <v>7.5</v>
      </c>
      <c r="F92" s="147" t="inlineStr">
        <is>
          <t>1:10</t>
        </is>
      </c>
      <c r="G92" s="147" t="inlineStr">
        <is>
          <t>B5 flange</t>
        </is>
      </c>
      <c r="H92" s="147" t="inlineStr">
        <is>
          <t>Solid output shaft</t>
        </is>
      </c>
      <c r="I92" s="147" t="inlineStr">
        <is>
          <t>IEC motor adaptor/input</t>
        </is>
      </c>
      <c r="J92" s="173" t="n">
        <v>1</v>
      </c>
      <c r="K92" s="174" t="n">
        <v>759.2</v>
      </c>
      <c r="L92" s="174" t="n">
        <v>759.2</v>
      </c>
      <c r="M92" s="141" t="inlineStr">
        <is>
          <t>TBC</t>
        </is>
      </c>
      <c r="N92" s="175" t="inlineStr">
        <is>
          <t>Quote reducer-only and complete gearmotor alternatives || OFFERED: İ.Mak İRFP 82 i=9.689 + IEC 132 B5 input (code 155) | Catalogue ratio i=9.689 (n2≈144 rpm), Sf 2.48 at 7.5 kW; Gearmotor alternative: İRFM 82 / 132 M 4a (available on request)</t>
        </is>
      </c>
    </row>
    <row r="93">
      <c r="A93" s="138" t="inlineStr">
        <is>
          <t>GB-087</t>
        </is>
      </c>
      <c r="B93" s="147" t="inlineStr">
        <is>
          <t>Helical Inline</t>
        </is>
      </c>
      <c r="C93" s="147" t="inlineStr">
        <is>
          <t>R / Equivalent</t>
        </is>
      </c>
      <c r="D93" s="147" t="inlineStr">
        <is>
          <t>Supplier selection</t>
        </is>
      </c>
      <c r="E93" s="147" t="n">
        <v>7.5</v>
      </c>
      <c r="F93" s="147" t="inlineStr">
        <is>
          <t>1:20</t>
        </is>
      </c>
      <c r="G93" s="147" t="inlineStr">
        <is>
          <t>B5 flange</t>
        </is>
      </c>
      <c r="H93" s="147" t="inlineStr">
        <is>
          <t>Solid output shaft</t>
        </is>
      </c>
      <c r="I93" s="147" t="inlineStr">
        <is>
          <t>IEC motor adaptor/input</t>
        </is>
      </c>
      <c r="J93" s="173" t="n">
        <v>1</v>
      </c>
      <c r="K93" s="174" t="n">
        <v>976.3</v>
      </c>
      <c r="L93" s="174" t="n">
        <v>976.3</v>
      </c>
      <c r="M93" s="141" t="inlineStr">
        <is>
          <t>TBC</t>
        </is>
      </c>
      <c r="N93" s="175" t="inlineStr">
        <is>
          <t>Quote reducer-only and complete gearmotor alternatives || OFFERED: İ.Mak İRFP 92 i=20.6 + IEC 132 B5 input (code 155) | Catalogue ratio i=20.6 (n2≈67 rpm), Sf 2.4 at 7.5 kW; Gearmotor alternative: İRFM 92 / 132 M 4a (available on request)</t>
        </is>
      </c>
    </row>
    <row r="94">
      <c r="A94" s="138" t="inlineStr">
        <is>
          <t>GB-088</t>
        </is>
      </c>
      <c r="B94" s="147" t="inlineStr">
        <is>
          <t>Helical Inline</t>
        </is>
      </c>
      <c r="C94" s="147" t="inlineStr">
        <is>
          <t>R / Equivalent</t>
        </is>
      </c>
      <c r="D94" s="147" t="inlineStr">
        <is>
          <t>Supplier selection</t>
        </is>
      </c>
      <c r="E94" s="147" t="n">
        <v>11</v>
      </c>
      <c r="F94" s="147" t="inlineStr">
        <is>
          <t>1:10</t>
        </is>
      </c>
      <c r="G94" s="147" t="inlineStr">
        <is>
          <t>B5 flange</t>
        </is>
      </c>
      <c r="H94" s="147" t="inlineStr">
        <is>
          <t>Solid output shaft</t>
        </is>
      </c>
      <c r="I94" s="147" t="inlineStr">
        <is>
          <t>IEC motor adaptor/input</t>
        </is>
      </c>
      <c r="J94" s="173" t="n">
        <v>1</v>
      </c>
      <c r="K94" s="174" t="n">
        <v>797.55</v>
      </c>
      <c r="L94" s="174" t="n">
        <v>797.55</v>
      </c>
      <c r="M94" s="141" t="inlineStr">
        <is>
          <t>TBC</t>
        </is>
      </c>
      <c r="N94" s="175" t="inlineStr">
        <is>
          <t>Quote reducer-only and complete gearmotor alternatives || OFFERED: İ.Mak İRFP 82 i=9.689 + IEC 160 B5 input (code 155) | Catalogue ratio i=9.689 (n2≈144 rpm), Sf 1.69 at 11 kW; Gearmotor alternative: İRFM 82 / 160 M 4a (available on request)</t>
        </is>
      </c>
    </row>
    <row r="95">
      <c r="A95" s="138" t="inlineStr">
        <is>
          <t>GB-089</t>
        </is>
      </c>
      <c r="B95" s="147" t="inlineStr">
        <is>
          <t>Helical Inline</t>
        </is>
      </c>
      <c r="C95" s="147" t="inlineStr">
        <is>
          <t>R / Equivalent</t>
        </is>
      </c>
      <c r="D95" s="147" t="inlineStr">
        <is>
          <t>Supplier selection</t>
        </is>
      </c>
      <c r="E95" s="147" t="n">
        <v>11</v>
      </c>
      <c r="F95" s="147" t="inlineStr">
        <is>
          <t>1:20</t>
        </is>
      </c>
      <c r="G95" s="147" t="inlineStr">
        <is>
          <t>B5 flange</t>
        </is>
      </c>
      <c r="H95" s="147" t="inlineStr">
        <is>
          <t>Solid output shaft</t>
        </is>
      </c>
      <c r="I95" s="147" t="inlineStr">
        <is>
          <t>IEC motor adaptor/input</t>
        </is>
      </c>
      <c r="J95" s="173" t="n">
        <v>1</v>
      </c>
      <c r="K95" s="174" t="n">
        <v>1038.05</v>
      </c>
      <c r="L95" s="174" t="n">
        <v>1038.05</v>
      </c>
      <c r="M95" s="141" t="inlineStr">
        <is>
          <t>TBC</t>
        </is>
      </c>
      <c r="N95" s="175" t="inlineStr">
        <is>
          <t>Quote reducer-only and complete gearmotor alternatives || OFFERED: İ.Mak İRFP 92 i=20.6 + IEC 160 B5 input (code 155) | Catalogue ratio i=20.6 (n2≈67 rpm), Sf 1.64 at 11 kW; Gearmotor alternative: İRFM 92 / 160 M 4a (available on request)</t>
        </is>
      </c>
    </row>
    <row r="96">
      <c r="A96" s="138" t="inlineStr">
        <is>
          <t>GB-090</t>
        </is>
      </c>
      <c r="B96" s="147" t="inlineStr">
        <is>
          <t>Helical Inline</t>
        </is>
      </c>
      <c r="C96" s="147" t="inlineStr">
        <is>
          <t>R / Equivalent</t>
        </is>
      </c>
      <c r="D96" s="147" t="inlineStr">
        <is>
          <t>Supplier selection</t>
        </is>
      </c>
      <c r="E96" s="147" t="n">
        <v>15</v>
      </c>
      <c r="F96" s="147" t="inlineStr">
        <is>
          <t>1:20</t>
        </is>
      </c>
      <c r="G96" s="147" t="inlineStr">
        <is>
          <t>B5 flange</t>
        </is>
      </c>
      <c r="H96" s="147" t="inlineStr">
        <is>
          <t>Solid output shaft</t>
        </is>
      </c>
      <c r="I96" s="147" t="inlineStr">
        <is>
          <t>IEC motor adaptor/input</t>
        </is>
      </c>
      <c r="J96" s="173" t="n">
        <v>1</v>
      </c>
      <c r="K96" s="174" t="n">
        <v>1446.25</v>
      </c>
      <c r="L96" s="174" t="n">
        <v>1446.25</v>
      </c>
      <c r="M96" s="141" t="inlineStr">
        <is>
          <t>TBC</t>
        </is>
      </c>
      <c r="N96" s="175" t="inlineStr">
        <is>
          <t>Quote reducer-only and complete gearmotor alternatives || OFFERED: İ.Mak İRFP 103 i=20.31 + IEC 160 B5 input (code 155) | Catalogue ratio i=20.31 (n2≈68 rpm), Sf 2.1 at 15 kW; Gearmotor alternative: İRFM 103 / 160 L 4a (available on request)</t>
        </is>
      </c>
    </row>
    <row r="97">
      <c r="A97" s="138" t="inlineStr">
        <is>
          <t>GB-091</t>
        </is>
      </c>
      <c r="B97" s="147" t="inlineStr">
        <is>
          <t>Helical Bevel</t>
        </is>
      </c>
      <c r="C97" s="147" t="inlineStr">
        <is>
          <t>K / Equivalent</t>
        </is>
      </c>
      <c r="D97" s="147" t="inlineStr">
        <is>
          <t>Supplier selection</t>
        </is>
      </c>
      <c r="E97" s="147" t="n">
        <v>0.75</v>
      </c>
      <c r="F97" s="147" t="inlineStr">
        <is>
          <t>1:10</t>
        </is>
      </c>
      <c r="G97" s="147" t="inlineStr">
        <is>
          <t>Torque-arm / universal</t>
        </is>
      </c>
      <c r="H97" s="147" t="inlineStr">
        <is>
          <t>Hollow shaft, keyed</t>
        </is>
      </c>
      <c r="I97" s="147" t="inlineStr">
        <is>
          <t>IEC motor adaptor/input</t>
        </is>
      </c>
      <c r="J97" s="173" t="n">
        <v>1</v>
      </c>
      <c r="K97" s="174" t="n">
        <v>390</v>
      </c>
      <c r="L97" s="174" t="n">
        <v>390</v>
      </c>
      <c r="M97" s="141" t="inlineStr">
        <is>
          <t>TBC</t>
        </is>
      </c>
      <c r="N97" s="175" t="inlineStr">
        <is>
          <t>Include torque arm || OFFERED: İ.Mak İRKP 63-TR i=10.44 + IEC 80 B5 | Catalogue ratio i=10.44 (n2≈134 rpm), Sf 5.4 at 0.75 kW; Torque arm included in unit price | Options included in Unit Price: Shrink disc €44.20</t>
        </is>
      </c>
    </row>
    <row r="98">
      <c r="A98" s="138" t="inlineStr">
        <is>
          <t>GB-092</t>
        </is>
      </c>
      <c r="B98" s="147" t="inlineStr">
        <is>
          <t>Helical Bevel</t>
        </is>
      </c>
      <c r="C98" s="147" t="inlineStr">
        <is>
          <t>K / Equivalent</t>
        </is>
      </c>
      <c r="D98" s="147" t="inlineStr">
        <is>
          <t>Supplier selection</t>
        </is>
      </c>
      <c r="E98" s="147" t="n">
        <v>0.75</v>
      </c>
      <c r="F98" s="147" t="inlineStr">
        <is>
          <t>1:15</t>
        </is>
      </c>
      <c r="G98" s="147" t="inlineStr">
        <is>
          <t>Torque-arm / universal</t>
        </is>
      </c>
      <c r="H98" s="147" t="inlineStr">
        <is>
          <t>Hollow shaft, keyed</t>
        </is>
      </c>
      <c r="I98" s="147" t="inlineStr">
        <is>
          <t>IEC motor adaptor/input</t>
        </is>
      </c>
      <c r="J98" s="173" t="n">
        <v>1</v>
      </c>
      <c r="K98" s="174" t="n">
        <v>290.55</v>
      </c>
      <c r="L98" s="174" t="n">
        <v>290.55</v>
      </c>
      <c r="M98" s="141" t="inlineStr">
        <is>
          <t>TBC</t>
        </is>
      </c>
      <c r="N98" s="175" t="inlineStr">
        <is>
          <t>Include torque arm || OFFERED: İ.Mak İRKP 42-TR i=14.25 + IEC 80 B5 | Catalogue ratio i=14.25 (n2≈98 rpm), Sf 2.9 at 0.75 kW; Torque arm included in unit price | Options included in Unit Price: Shrink disc €35.10</t>
        </is>
      </c>
    </row>
    <row r="99">
      <c r="A99" s="138" t="inlineStr">
        <is>
          <t>GB-093</t>
        </is>
      </c>
      <c r="B99" s="147" t="inlineStr">
        <is>
          <t>Helical Bevel</t>
        </is>
      </c>
      <c r="C99" s="147" t="inlineStr">
        <is>
          <t>K / Equivalent</t>
        </is>
      </c>
      <c r="D99" s="147" t="inlineStr">
        <is>
          <t>Supplier selection</t>
        </is>
      </c>
      <c r="E99" s="147" t="n">
        <v>0.75</v>
      </c>
      <c r="F99" s="147" t="inlineStr">
        <is>
          <t>1:20</t>
        </is>
      </c>
      <c r="G99" s="147" t="inlineStr">
        <is>
          <t>Torque-arm / universal</t>
        </is>
      </c>
      <c r="H99" s="147" t="inlineStr">
        <is>
          <t>Hollow shaft, keyed</t>
        </is>
      </c>
      <c r="I99" s="147" t="inlineStr">
        <is>
          <t>IEC motor adaptor/input</t>
        </is>
      </c>
      <c r="J99" s="173" t="n">
        <v>1</v>
      </c>
      <c r="K99" s="174" t="n">
        <v>300.3</v>
      </c>
      <c r="L99" s="174" t="n">
        <v>300.3</v>
      </c>
      <c r="M99" s="141" t="inlineStr">
        <is>
          <t>TBC</t>
        </is>
      </c>
      <c r="N99" s="175" t="inlineStr">
        <is>
          <t>Include torque arm || OFFERED: İ.Mak İRKP 43-TR i=19.83 + IEC 80 B5 | Catalogue ratio i=19.83 (n2≈71 rpm), Sf 2.7 at 0.75 kW; Torque arm included in unit price | Options included in Unit Price: Shrink disc €35.10</t>
        </is>
      </c>
    </row>
    <row r="100">
      <c r="A100" s="138" t="inlineStr">
        <is>
          <t>GB-094</t>
        </is>
      </c>
      <c r="B100" s="147" t="inlineStr">
        <is>
          <t>Helical Bevel</t>
        </is>
      </c>
      <c r="C100" s="147" t="inlineStr">
        <is>
          <t>K / Equivalent</t>
        </is>
      </c>
      <c r="D100" s="147" t="inlineStr">
        <is>
          <t>Supplier selection</t>
        </is>
      </c>
      <c r="E100" s="147" t="n">
        <v>0.75</v>
      </c>
      <c r="F100" s="147" t="inlineStr">
        <is>
          <t>1:30</t>
        </is>
      </c>
      <c r="G100" s="147" t="inlineStr">
        <is>
          <t>Torque-arm / universal</t>
        </is>
      </c>
      <c r="H100" s="147" t="inlineStr">
        <is>
          <t>Hollow shaft, keyed</t>
        </is>
      </c>
      <c r="I100" s="147" t="inlineStr">
        <is>
          <t>IEC motor adaptor/input</t>
        </is>
      </c>
      <c r="J100" s="173" t="n">
        <v>1</v>
      </c>
      <c r="K100" s="174" t="n">
        <v>300.3</v>
      </c>
      <c r="L100" s="174" t="n">
        <v>300.3</v>
      </c>
      <c r="M100" s="141" t="inlineStr">
        <is>
          <t>TBC</t>
        </is>
      </c>
      <c r="N100" s="175" t="inlineStr">
        <is>
          <t>Include torque arm || OFFERED: İ.Mak İRKP 43-TR i=29.92 + IEC 80 B5 | Catalogue ratio i=29.92 (n2≈47 rpm), Sf 1.69 at 0.75 kW; Torque arm included in unit price | Options included in Unit Price: Shrink disc €35.10</t>
        </is>
      </c>
    </row>
    <row r="101">
      <c r="A101" s="138" t="inlineStr">
        <is>
          <t>GB-095</t>
        </is>
      </c>
      <c r="B101" s="147" t="inlineStr">
        <is>
          <t>Helical Bevel</t>
        </is>
      </c>
      <c r="C101" s="147" t="inlineStr">
        <is>
          <t>K / Equivalent</t>
        </is>
      </c>
      <c r="D101" s="147" t="inlineStr">
        <is>
          <t>Supplier selection</t>
        </is>
      </c>
      <c r="E101" s="147" t="n">
        <v>1.1</v>
      </c>
      <c r="F101" s="147" t="inlineStr">
        <is>
          <t>1:10</t>
        </is>
      </c>
      <c r="G101" s="147" t="inlineStr">
        <is>
          <t>Torque-arm / universal</t>
        </is>
      </c>
      <c r="H101" s="147" t="inlineStr">
        <is>
          <t>Hollow shaft, keyed</t>
        </is>
      </c>
      <c r="I101" s="147" t="inlineStr">
        <is>
          <t>IEC motor adaptor/input</t>
        </is>
      </c>
      <c r="J101" s="173" t="n">
        <v>1</v>
      </c>
      <c r="K101" s="174" t="n">
        <v>390</v>
      </c>
      <c r="L101" s="174" t="n">
        <v>390</v>
      </c>
      <c r="M101" s="141" t="inlineStr">
        <is>
          <t>TBC</t>
        </is>
      </c>
      <c r="N101" s="175" t="inlineStr">
        <is>
          <t>Include torque arm || OFFERED: İ.Mak İRKP 63-TR i=10.44 + IEC 90 B5 | Catalogue ratio i=10.44 (n2≈134 rpm), Sf 3.7 at 1.1 kW; Torque arm included in unit price | Options included in Unit Price: Shrink disc €44.20</t>
        </is>
      </c>
    </row>
    <row r="102">
      <c r="A102" s="138" t="inlineStr">
        <is>
          <t>GB-096</t>
        </is>
      </c>
      <c r="B102" s="147" t="inlineStr">
        <is>
          <t>Helical Bevel</t>
        </is>
      </c>
      <c r="C102" s="147" t="inlineStr">
        <is>
          <t>K / Equivalent</t>
        </is>
      </c>
      <c r="D102" s="147" t="inlineStr">
        <is>
          <t>Supplier selection</t>
        </is>
      </c>
      <c r="E102" s="147" t="n">
        <v>1.1</v>
      </c>
      <c r="F102" s="147" t="inlineStr">
        <is>
          <t>1:20</t>
        </is>
      </c>
      <c r="G102" s="147" t="inlineStr">
        <is>
          <t>Torque-arm / universal</t>
        </is>
      </c>
      <c r="H102" s="147" t="inlineStr">
        <is>
          <t>Hollow shaft, keyed</t>
        </is>
      </c>
      <c r="I102" s="147" t="inlineStr">
        <is>
          <t>IEC motor adaptor/input</t>
        </is>
      </c>
      <c r="J102" s="173" t="n">
        <v>1</v>
      </c>
      <c r="K102" s="174" t="n">
        <v>300.3</v>
      </c>
      <c r="L102" s="174" t="n">
        <v>300.3</v>
      </c>
      <c r="M102" s="141" t="inlineStr">
        <is>
          <t>TBC</t>
        </is>
      </c>
      <c r="N102" s="175" t="inlineStr">
        <is>
          <t>Include torque arm || OFFERED: İ.Mak İRKP 43-TR i=19.83 + IEC 90 B5 | Catalogue ratio i=19.83 (n2≈71 rpm), Sf 1.85 at 1.1 kW; Torque arm included in unit price | Options included in Unit Price: Shrink disc €35.10</t>
        </is>
      </c>
    </row>
    <row r="103">
      <c r="A103" s="138" t="inlineStr">
        <is>
          <t>GB-097</t>
        </is>
      </c>
      <c r="B103" s="147" t="inlineStr">
        <is>
          <t>Helical Bevel</t>
        </is>
      </c>
      <c r="C103" s="147" t="inlineStr">
        <is>
          <t>K / Equivalent</t>
        </is>
      </c>
      <c r="D103" s="147" t="inlineStr">
        <is>
          <t>Supplier selection</t>
        </is>
      </c>
      <c r="E103" s="147" t="n">
        <v>1.1</v>
      </c>
      <c r="F103" s="147" t="inlineStr">
        <is>
          <t>1:30</t>
        </is>
      </c>
      <c r="G103" s="147" t="inlineStr">
        <is>
          <t>Torque-arm / universal</t>
        </is>
      </c>
      <c r="H103" s="147" t="inlineStr">
        <is>
          <t>Hollow shaft, keyed</t>
        </is>
      </c>
      <c r="I103" s="147" t="inlineStr">
        <is>
          <t>IEC motor adaptor/input</t>
        </is>
      </c>
      <c r="J103" s="173" t="n">
        <v>1</v>
      </c>
      <c r="K103" s="174" t="n">
        <v>390</v>
      </c>
      <c r="L103" s="174" t="n">
        <v>390</v>
      </c>
      <c r="M103" s="141" t="inlineStr">
        <is>
          <t>TBC</t>
        </is>
      </c>
      <c r="N103" s="175" t="inlineStr">
        <is>
          <t>Include torque arm || OFFERED: İ.Mak İRKP 63-TR i=30.93 + IEC 90 B5 | Catalogue ratio i=30.93 (n2≈45 rpm), Sf 1.8 at 1.1 kW; Torque arm included in unit price | Options included in Unit Price: Shrink disc €44.20</t>
        </is>
      </c>
    </row>
    <row r="104">
      <c r="A104" s="138" t="inlineStr">
        <is>
          <t>GB-098</t>
        </is>
      </c>
      <c r="B104" s="147" t="inlineStr">
        <is>
          <t>Helical Bevel</t>
        </is>
      </c>
      <c r="C104" s="147" t="inlineStr">
        <is>
          <t>K / Equivalent</t>
        </is>
      </c>
      <c r="D104" s="147" t="inlineStr">
        <is>
          <t>Supplier selection</t>
        </is>
      </c>
      <c r="E104" s="147" t="n">
        <v>1.1</v>
      </c>
      <c r="F104" s="147" t="inlineStr">
        <is>
          <t>1:40</t>
        </is>
      </c>
      <c r="G104" s="147" t="inlineStr">
        <is>
          <t>Torque-arm / universal</t>
        </is>
      </c>
      <c r="H104" s="147" t="inlineStr">
        <is>
          <t>Hollow shaft, keyed</t>
        </is>
      </c>
      <c r="I104" s="147" t="inlineStr">
        <is>
          <t>IEC motor adaptor/input</t>
        </is>
      </c>
      <c r="J104" s="173" t="n">
        <v>1</v>
      </c>
      <c r="K104" s="174" t="n">
        <v>612.3</v>
      </c>
      <c r="L104" s="174" t="n">
        <v>612.3</v>
      </c>
      <c r="M104" s="141" t="inlineStr">
        <is>
          <t>TBC</t>
        </is>
      </c>
      <c r="N104" s="175" t="inlineStr">
        <is>
          <t>Include torque arm || OFFERED: İ.Mak İRKP 73-TR i=42.21 + IEC 90 B5 | Catalogue ratio i=42.21 (n2≈33 rpm), Sf 2.7 at 1.1 kW; Torque arm included in unit price | Options included in Unit Price: Shrink disc €66.95</t>
        </is>
      </c>
    </row>
    <row r="105">
      <c r="A105" s="138" t="inlineStr">
        <is>
          <t>GB-099</t>
        </is>
      </c>
      <c r="B105" s="147" t="inlineStr">
        <is>
          <t>Helical Bevel</t>
        </is>
      </c>
      <c r="C105" s="147" t="inlineStr">
        <is>
          <t>K / Equivalent</t>
        </is>
      </c>
      <c r="D105" s="147" t="inlineStr">
        <is>
          <t>Supplier selection</t>
        </is>
      </c>
      <c r="E105" s="147" t="n">
        <v>1.5</v>
      </c>
      <c r="F105" s="147" t="inlineStr">
        <is>
          <t>1:10</t>
        </is>
      </c>
      <c r="G105" s="147" t="inlineStr">
        <is>
          <t>Torque-arm / universal</t>
        </is>
      </c>
      <c r="H105" s="147" t="inlineStr">
        <is>
          <t>Hollow shaft, keyed</t>
        </is>
      </c>
      <c r="I105" s="147" t="inlineStr">
        <is>
          <t>IEC motor adaptor/input</t>
        </is>
      </c>
      <c r="J105" s="173" t="n">
        <v>1</v>
      </c>
      <c r="K105" s="174" t="n">
        <v>390</v>
      </c>
      <c r="L105" s="174" t="n">
        <v>390</v>
      </c>
      <c r="M105" s="141" t="inlineStr">
        <is>
          <t>TBC</t>
        </is>
      </c>
      <c r="N105" s="175" t="inlineStr">
        <is>
          <t>Include torque arm || OFFERED: İ.Mak İRKP 63-TR i=10.44 + IEC 90 B5 | Catalogue ratio i=10.44 (n2≈134 rpm), Sf 2.7 at 1.5 kW; Torque arm included in unit price | Options included in Unit Price: Shrink disc €44.20</t>
        </is>
      </c>
    </row>
    <row r="106">
      <c r="A106" s="138" t="inlineStr">
        <is>
          <t>GB-100</t>
        </is>
      </c>
      <c r="B106" s="147" t="inlineStr">
        <is>
          <t>Helical Bevel</t>
        </is>
      </c>
      <c r="C106" s="147" t="inlineStr">
        <is>
          <t>K / Equivalent</t>
        </is>
      </c>
      <c r="D106" s="147" t="inlineStr">
        <is>
          <t>Supplier selection</t>
        </is>
      </c>
      <c r="E106" s="147" t="n">
        <v>1.5</v>
      </c>
      <c r="F106" s="147" t="inlineStr">
        <is>
          <t>1:15</t>
        </is>
      </c>
      <c r="G106" s="147" t="inlineStr">
        <is>
          <t>Torque-arm / universal</t>
        </is>
      </c>
      <c r="H106" s="147" t="inlineStr">
        <is>
          <t>Hollow shaft, keyed</t>
        </is>
      </c>
      <c r="I106" s="147" t="inlineStr">
        <is>
          <t>IEC motor adaptor/input</t>
        </is>
      </c>
      <c r="J106" s="173" t="n">
        <v>1</v>
      </c>
      <c r="K106" s="174" t="n">
        <v>300.3</v>
      </c>
      <c r="L106" s="174" t="n">
        <v>300.3</v>
      </c>
      <c r="M106" s="141" t="inlineStr">
        <is>
          <t>TBC</t>
        </is>
      </c>
      <c r="N106" s="175" t="inlineStr">
        <is>
          <t>Include torque arm || OFFERED: İ.Mak İRKP 43-TR i=15.73 + IEC 90 B5 | Catalogue ratio i=15.73 (n2≈89 rpm), Sf 1.72 at 1.5 kW; Torque arm included in unit price | Options included in Unit Price: Shrink disc €35.10</t>
        </is>
      </c>
    </row>
    <row r="107">
      <c r="A107" s="138" t="inlineStr">
        <is>
          <t>GB-101</t>
        </is>
      </c>
      <c r="B107" s="147" t="inlineStr">
        <is>
          <t>Helical Bevel</t>
        </is>
      </c>
      <c r="C107" s="147" t="inlineStr">
        <is>
          <t>K / Equivalent</t>
        </is>
      </c>
      <c r="D107" s="147" t="inlineStr">
        <is>
          <t>Supplier selection</t>
        </is>
      </c>
      <c r="E107" s="147" t="n">
        <v>1.5</v>
      </c>
      <c r="F107" s="147" t="inlineStr">
        <is>
          <t>1:20</t>
        </is>
      </c>
      <c r="G107" s="147" t="inlineStr">
        <is>
          <t>Torque-arm / universal</t>
        </is>
      </c>
      <c r="H107" s="147" t="inlineStr">
        <is>
          <t>Hollow shaft, keyed</t>
        </is>
      </c>
      <c r="I107" s="147" t="inlineStr">
        <is>
          <t>IEC motor adaptor/input</t>
        </is>
      </c>
      <c r="J107" s="173" t="n">
        <v>1</v>
      </c>
      <c r="K107" s="174" t="n">
        <v>390</v>
      </c>
      <c r="L107" s="174" t="n">
        <v>390</v>
      </c>
      <c r="M107" s="141" t="inlineStr">
        <is>
          <t>TBC</t>
        </is>
      </c>
      <c r="N107" s="175" t="inlineStr">
        <is>
          <t>Include torque arm || OFFERED: İ.Mak İRKP 63-TR i=19.11 + IEC 90 B5 | Catalogue ratio i=19.11 (n2≈73 rpm), Sf 2.0 at 1.5 kW; Torque arm included in unit price | Options included in Unit Price: Shrink disc €44.20</t>
        </is>
      </c>
    </row>
    <row r="108">
      <c r="A108" s="138" t="inlineStr">
        <is>
          <t>GB-102</t>
        </is>
      </c>
      <c r="B108" s="147" t="inlineStr">
        <is>
          <t>Helical Bevel</t>
        </is>
      </c>
      <c r="C108" s="147" t="inlineStr">
        <is>
          <t>K / Equivalent</t>
        </is>
      </c>
      <c r="D108" s="147" t="inlineStr">
        <is>
          <t>Supplier selection</t>
        </is>
      </c>
      <c r="E108" s="147" t="n">
        <v>1.5</v>
      </c>
      <c r="F108" s="147" t="inlineStr">
        <is>
          <t>1:30</t>
        </is>
      </c>
      <c r="G108" s="147" t="inlineStr">
        <is>
          <t>Torque-arm / universal</t>
        </is>
      </c>
      <c r="H108" s="147" t="inlineStr">
        <is>
          <t>Hollow shaft, keyed</t>
        </is>
      </c>
      <c r="I108" s="147" t="inlineStr">
        <is>
          <t>IEC motor adaptor/input</t>
        </is>
      </c>
      <c r="J108" s="173" t="n">
        <v>1</v>
      </c>
      <c r="K108" s="174" t="n">
        <v>612.3</v>
      </c>
      <c r="L108" s="174" t="n">
        <v>612.3</v>
      </c>
      <c r="M108" s="141" t="inlineStr">
        <is>
          <t>TBC</t>
        </is>
      </c>
      <c r="N108" s="175" t="inlineStr">
        <is>
          <t>Include torque arm || OFFERED: İ.Mak İRKP 73-TR i=28.39 + IEC 90 B5 | Catalogue ratio i=28.39 (n2≈49 rpm), Sf 2.9 at 1.5 kW; Torque arm included in unit price | Options included in Unit Price: Shrink disc €66.95</t>
        </is>
      </c>
    </row>
    <row r="109">
      <c r="A109" s="138" t="inlineStr">
        <is>
          <t>GB-103</t>
        </is>
      </c>
      <c r="B109" s="147" t="inlineStr">
        <is>
          <t>Helical Bevel</t>
        </is>
      </c>
      <c r="C109" s="147" t="inlineStr">
        <is>
          <t>K / Equivalent</t>
        </is>
      </c>
      <c r="D109" s="147" t="inlineStr">
        <is>
          <t>Supplier selection</t>
        </is>
      </c>
      <c r="E109" s="147" t="n">
        <v>1.5</v>
      </c>
      <c r="F109" s="147" t="inlineStr">
        <is>
          <t>1:40</t>
        </is>
      </c>
      <c r="G109" s="147" t="inlineStr">
        <is>
          <t>Torque-arm / universal</t>
        </is>
      </c>
      <c r="H109" s="147" t="inlineStr">
        <is>
          <t>Hollow shaft, keyed</t>
        </is>
      </c>
      <c r="I109" s="147" t="inlineStr">
        <is>
          <t>IEC motor adaptor/input</t>
        </is>
      </c>
      <c r="J109" s="173" t="n">
        <v>1</v>
      </c>
      <c r="K109" s="174" t="n">
        <v>612.3</v>
      </c>
      <c r="L109" s="174" t="n">
        <v>612.3</v>
      </c>
      <c r="M109" s="141" t="inlineStr">
        <is>
          <t>TBC</t>
        </is>
      </c>
      <c r="N109" s="175" t="inlineStr">
        <is>
          <t>Include torque arm || OFFERED: İ.Mak İRKP 73-TR i=42.21 + IEC 90 B5 | Catalogue ratio i=42.21 (n2≈33 rpm), Sf 1.98 at 1.5 kW; Torque arm included in unit price | Options included in Unit Price: Shrink disc €66.95</t>
        </is>
      </c>
    </row>
    <row r="110">
      <c r="A110" s="138" t="inlineStr">
        <is>
          <t>GB-104</t>
        </is>
      </c>
      <c r="B110" s="147" t="inlineStr">
        <is>
          <t>Helical Bevel</t>
        </is>
      </c>
      <c r="C110" s="147" t="inlineStr">
        <is>
          <t>K / Equivalent</t>
        </is>
      </c>
      <c r="D110" s="147" t="inlineStr">
        <is>
          <t>Supplier selection</t>
        </is>
      </c>
      <c r="E110" s="147" t="n">
        <v>2.2</v>
      </c>
      <c r="F110" s="147" t="inlineStr">
        <is>
          <t>1:10</t>
        </is>
      </c>
      <c r="G110" s="147" t="inlineStr">
        <is>
          <t>Torque-arm / universal</t>
        </is>
      </c>
      <c r="H110" s="147" t="inlineStr">
        <is>
          <t>Hollow shaft, keyed</t>
        </is>
      </c>
      <c r="I110" s="147" t="inlineStr">
        <is>
          <t>IEC motor adaptor/input</t>
        </is>
      </c>
      <c r="J110" s="173" t="n">
        <v>1</v>
      </c>
      <c r="K110" s="174" t="n">
        <v>394.55</v>
      </c>
      <c r="L110" s="174" t="n">
        <v>394.55</v>
      </c>
      <c r="M110" s="141" t="inlineStr">
        <is>
          <t>TBC</t>
        </is>
      </c>
      <c r="N110" s="175" t="inlineStr">
        <is>
          <t>Include torque arm || OFFERED: İ.Mak İRKP 63-TR i=10.44 + IEC 100 B5 | Catalogue ratio i=10.44 (n2≈134 rpm), Sf 1.84 at 2.2 kW; Torque arm included in unit price | Options included in Unit Price: Shrink disc €44.20</t>
        </is>
      </c>
    </row>
    <row r="111">
      <c r="A111" s="138" t="inlineStr">
        <is>
          <t>GB-105</t>
        </is>
      </c>
      <c r="B111" s="147" t="inlineStr">
        <is>
          <t>Helical Bevel</t>
        </is>
      </c>
      <c r="C111" s="147" t="inlineStr">
        <is>
          <t>K / Equivalent</t>
        </is>
      </c>
      <c r="D111" s="147" t="inlineStr">
        <is>
          <t>Supplier selection</t>
        </is>
      </c>
      <c r="E111" s="147" t="n">
        <v>2.2</v>
      </c>
      <c r="F111" s="147" t="inlineStr">
        <is>
          <t>1:15</t>
        </is>
      </c>
      <c r="G111" s="147" t="inlineStr">
        <is>
          <t>Torque-arm / universal</t>
        </is>
      </c>
      <c r="H111" s="147" t="inlineStr">
        <is>
          <t>Hollow shaft, keyed</t>
        </is>
      </c>
      <c r="I111" s="147" t="inlineStr">
        <is>
          <t>IEC motor adaptor/input</t>
        </is>
      </c>
      <c r="J111" s="173" t="n">
        <v>1</v>
      </c>
      <c r="K111" s="174" t="n">
        <v>394.55</v>
      </c>
      <c r="L111" s="174" t="n">
        <v>394.55</v>
      </c>
      <c r="M111" s="141" t="inlineStr">
        <is>
          <t>TBC</t>
        </is>
      </c>
      <c r="N111" s="175" t="inlineStr">
        <is>
          <t>Include torque arm || OFFERED: İ.Mak İRKP 63-TR i=15.04 + IEC 100 B5 | Catalogue ratio i=15.04 (n2≈93 rpm), Sf 1.64 at 2.2 kW; Torque arm included in unit price | Options included in Unit Price: Shrink disc €44.20</t>
        </is>
      </c>
    </row>
    <row r="112">
      <c r="A112" s="138" t="inlineStr">
        <is>
          <t>GB-106</t>
        </is>
      </c>
      <c r="B112" s="147" t="inlineStr">
        <is>
          <t>Helical Bevel</t>
        </is>
      </c>
      <c r="C112" s="147" t="inlineStr">
        <is>
          <t>K / Equivalent</t>
        </is>
      </c>
      <c r="D112" s="147" t="inlineStr">
        <is>
          <t>Supplier selection</t>
        </is>
      </c>
      <c r="E112" s="147" t="n">
        <v>2.2</v>
      </c>
      <c r="F112" s="147" t="inlineStr">
        <is>
          <t>1:20</t>
        </is>
      </c>
      <c r="G112" s="147" t="inlineStr">
        <is>
          <t>Torque-arm / universal</t>
        </is>
      </c>
      <c r="H112" s="147" t="inlineStr">
        <is>
          <t>Hollow shaft, keyed</t>
        </is>
      </c>
      <c r="I112" s="147" t="inlineStr">
        <is>
          <t>IEC motor adaptor/input</t>
        </is>
      </c>
      <c r="J112" s="173" t="n">
        <v>1</v>
      </c>
      <c r="K112" s="174" t="n">
        <v>623.35</v>
      </c>
      <c r="L112" s="174" t="n">
        <v>623.35</v>
      </c>
      <c r="M112" s="141" t="inlineStr">
        <is>
          <t>TBC</t>
        </is>
      </c>
      <c r="N112" s="175" t="inlineStr">
        <is>
          <t>Include torque arm || OFFERED: İ.Mak İRKP 73-TR i=19.51 + IEC 100 B5 | Catalogue ratio i=19.51 (n2≈72 rpm), Sf 2.7 at 2.2 kW; Torque arm included in unit price | Options included in Unit Price: Shrink disc €66.95</t>
        </is>
      </c>
    </row>
    <row r="113">
      <c r="A113" s="138" t="inlineStr">
        <is>
          <t>GB-107</t>
        </is>
      </c>
      <c r="B113" s="147" t="inlineStr">
        <is>
          <t>Helical Bevel</t>
        </is>
      </c>
      <c r="C113" s="147" t="inlineStr">
        <is>
          <t>K / Equivalent</t>
        </is>
      </c>
      <c r="D113" s="147" t="inlineStr">
        <is>
          <t>Supplier selection</t>
        </is>
      </c>
      <c r="E113" s="147" t="n">
        <v>2.2</v>
      </c>
      <c r="F113" s="147" t="inlineStr">
        <is>
          <t>1:30</t>
        </is>
      </c>
      <c r="G113" s="147" t="inlineStr">
        <is>
          <t>Torque-arm / universal</t>
        </is>
      </c>
      <c r="H113" s="147" t="inlineStr">
        <is>
          <t>Hollow shaft, keyed</t>
        </is>
      </c>
      <c r="I113" s="147" t="inlineStr">
        <is>
          <t>IEC motor adaptor/input</t>
        </is>
      </c>
      <c r="J113" s="173" t="n">
        <v>1</v>
      </c>
      <c r="K113" s="174" t="n">
        <v>920.4</v>
      </c>
      <c r="L113" s="174" t="n">
        <v>920.4</v>
      </c>
      <c r="M113" s="141" t="inlineStr">
        <is>
          <t>TBC</t>
        </is>
      </c>
      <c r="N113" s="175" t="inlineStr">
        <is>
          <t>Include torque arm || OFFERED: İ.Mak İRKP 83-TR i=31.34 + IEC 100 B5 | Catalogue ratio i=31.34 (n2≈45 rpm), Sf 3.3 at 2.2 kW; Torque arm included in unit price | Options included in Unit Price: Shrink disc €105.30</t>
        </is>
      </c>
    </row>
    <row r="114">
      <c r="A114" s="138" t="inlineStr">
        <is>
          <t>GB-108</t>
        </is>
      </c>
      <c r="B114" s="147" t="inlineStr">
        <is>
          <t>Helical Bevel</t>
        </is>
      </c>
      <c r="C114" s="147" t="inlineStr">
        <is>
          <t>K / Equivalent</t>
        </is>
      </c>
      <c r="D114" s="147" t="inlineStr">
        <is>
          <t>Supplier selection</t>
        </is>
      </c>
      <c r="E114" s="147" t="n">
        <v>2.2</v>
      </c>
      <c r="F114" s="147" t="inlineStr">
        <is>
          <t>1:40</t>
        </is>
      </c>
      <c r="G114" s="147" t="inlineStr">
        <is>
          <t>Torque-arm / universal</t>
        </is>
      </c>
      <c r="H114" s="147" t="inlineStr">
        <is>
          <t>Hollow shaft, keyed</t>
        </is>
      </c>
      <c r="I114" s="147" t="inlineStr">
        <is>
          <t>IEC motor adaptor/input</t>
        </is>
      </c>
      <c r="J114" s="173" t="n">
        <v>1</v>
      </c>
      <c r="K114" s="174" t="n">
        <v>920.4</v>
      </c>
      <c r="L114" s="174" t="n">
        <v>920.4</v>
      </c>
      <c r="M114" s="141" t="inlineStr">
        <is>
          <t>TBC</t>
        </is>
      </c>
      <c r="N114" s="175" t="inlineStr">
        <is>
          <t>Include torque arm || OFFERED: İ.Mak İRKP 83-TR i=37.93 + IEC 100 B5 | Catalogue ratio i=37.93 (n2≈37 rpm), Sf 2.5 at 2.2 kW; Torque arm included in unit price | Options included in Unit Price: Shrink disc €105.30</t>
        </is>
      </c>
    </row>
    <row r="115">
      <c r="A115" s="138" t="inlineStr">
        <is>
          <t>GB-109</t>
        </is>
      </c>
      <c r="B115" s="147" t="inlineStr">
        <is>
          <t>Helical Bevel</t>
        </is>
      </c>
      <c r="C115" s="147" t="inlineStr">
        <is>
          <t>K / Equivalent</t>
        </is>
      </c>
      <c r="D115" s="147" t="inlineStr">
        <is>
          <t>Supplier selection</t>
        </is>
      </c>
      <c r="E115" s="147" t="n">
        <v>3</v>
      </c>
      <c r="F115" s="147" t="inlineStr">
        <is>
          <t>1:15</t>
        </is>
      </c>
      <c r="G115" s="147" t="inlineStr">
        <is>
          <t>Foot mounted</t>
        </is>
      </c>
      <c r="H115" s="147" t="inlineStr">
        <is>
          <t>Solid output shaft</t>
        </is>
      </c>
      <c r="I115" s="147" t="inlineStr">
        <is>
          <t>IEC motor adaptor/input</t>
        </is>
      </c>
      <c r="J115" s="173" t="n">
        <v>1</v>
      </c>
      <c r="K115" s="174" t="n">
        <v>575.9</v>
      </c>
      <c r="L115" s="174" t="n">
        <v>575.9</v>
      </c>
      <c r="M115" s="141" t="inlineStr">
        <is>
          <t>TBC</t>
        </is>
      </c>
      <c r="N115" s="175" t="inlineStr">
        <is>
          <t>Quote output flange option || OFFERED: İ.Mak İRKP 73-SR i=15.53 + IEC 100 B5 (foot mounted) | Catalogue ratio i=15.53 (n2≈90 rpm), Sf 2.2 at 3 kW | Options included in Unit Price: Output flange €20.80</t>
        </is>
      </c>
    </row>
    <row r="116">
      <c r="A116" s="138" t="inlineStr">
        <is>
          <t>GB-110</t>
        </is>
      </c>
      <c r="B116" s="147" t="inlineStr">
        <is>
          <t>Helical Bevel</t>
        </is>
      </c>
      <c r="C116" s="147" t="inlineStr">
        <is>
          <t>K / Equivalent</t>
        </is>
      </c>
      <c r="D116" s="147" t="inlineStr">
        <is>
          <t>Supplier selection</t>
        </is>
      </c>
      <c r="E116" s="147" t="n">
        <v>3</v>
      </c>
      <c r="F116" s="147" t="inlineStr">
        <is>
          <t>1:20</t>
        </is>
      </c>
      <c r="G116" s="147" t="inlineStr">
        <is>
          <t>Foot mounted</t>
        </is>
      </c>
      <c r="H116" s="147" t="inlineStr">
        <is>
          <t>Solid output shaft</t>
        </is>
      </c>
      <c r="I116" s="147" t="inlineStr">
        <is>
          <t>IEC motor adaptor/input</t>
        </is>
      </c>
      <c r="J116" s="173" t="n">
        <v>1</v>
      </c>
      <c r="K116" s="174" t="n">
        <v>575.9</v>
      </c>
      <c r="L116" s="174" t="n">
        <v>575.9</v>
      </c>
      <c r="M116" s="141" t="inlineStr">
        <is>
          <t>TBC</t>
        </is>
      </c>
      <c r="N116" s="175" t="inlineStr">
        <is>
          <t>Quote output flange option || OFFERED: İ.Mak İRKP 73-SR i=19.51 + IEC 100 B5 (foot mounted) | Catalogue ratio i=19.51 (n2≈72 rpm), Sf 1.94 at 3 kW | Options included in Unit Price: Output flange €20.80</t>
        </is>
      </c>
    </row>
    <row r="117">
      <c r="A117" s="138" t="inlineStr">
        <is>
          <t>GB-111</t>
        </is>
      </c>
      <c r="B117" s="147" t="inlineStr">
        <is>
          <t>Helical Bevel</t>
        </is>
      </c>
      <c r="C117" s="147" t="inlineStr">
        <is>
          <t>K / Equivalent</t>
        </is>
      </c>
      <c r="D117" s="147" t="inlineStr">
        <is>
          <t>Supplier selection</t>
        </is>
      </c>
      <c r="E117" s="147" t="n">
        <v>3</v>
      </c>
      <c r="F117" s="147" t="inlineStr">
        <is>
          <t>1:30</t>
        </is>
      </c>
      <c r="G117" s="147" t="inlineStr">
        <is>
          <t>Foot mounted</t>
        </is>
      </c>
      <c r="H117" s="147" t="inlineStr">
        <is>
          <t>Solid output shaft</t>
        </is>
      </c>
      <c r="I117" s="147" t="inlineStr">
        <is>
          <t>IEC motor adaptor/input</t>
        </is>
      </c>
      <c r="J117" s="173" t="n">
        <v>1</v>
      </c>
      <c r="K117" s="174" t="n">
        <v>839.15</v>
      </c>
      <c r="L117" s="174" t="n">
        <v>839.15</v>
      </c>
      <c r="M117" s="141" t="inlineStr">
        <is>
          <t>TBC</t>
        </is>
      </c>
      <c r="N117" s="175" t="inlineStr">
        <is>
          <t>Quote output flange option || OFFERED: İ.Mak İRKP 83-SR i=31.34 + IEC 100 B5 (foot mounted) | Catalogue ratio i=31.34 (n2≈45 rpm), Sf 2.4 at 3 kW | Options included in Unit Price: Output flange €26.00</t>
        </is>
      </c>
    </row>
    <row r="118">
      <c r="A118" s="138" t="inlineStr">
        <is>
          <t>GB-112</t>
        </is>
      </c>
      <c r="B118" s="147" t="inlineStr">
        <is>
          <t>Helical Bevel</t>
        </is>
      </c>
      <c r="C118" s="147" t="inlineStr">
        <is>
          <t>K / Equivalent</t>
        </is>
      </c>
      <c r="D118" s="147" t="inlineStr">
        <is>
          <t>Supplier selection</t>
        </is>
      </c>
      <c r="E118" s="147" t="n">
        <v>4</v>
      </c>
      <c r="F118" s="147" t="inlineStr">
        <is>
          <t>1:15</t>
        </is>
      </c>
      <c r="G118" s="147" t="inlineStr">
        <is>
          <t>Foot mounted</t>
        </is>
      </c>
      <c r="H118" s="147" t="inlineStr">
        <is>
          <t>Solid output shaft</t>
        </is>
      </c>
      <c r="I118" s="147" t="inlineStr">
        <is>
          <t>IEC motor adaptor/input</t>
        </is>
      </c>
      <c r="J118" s="173" t="n">
        <v>1</v>
      </c>
      <c r="K118" s="174" t="n">
        <v>575.9</v>
      </c>
      <c r="L118" s="174" t="n">
        <v>575.9</v>
      </c>
      <c r="M118" s="141" t="inlineStr">
        <is>
          <t>TBC</t>
        </is>
      </c>
      <c r="N118" s="175" t="inlineStr">
        <is>
          <t>Quote output flange option || OFFERED: İ.Mak İRKP 73-SR i=15.53 + IEC 112 B5 (foot mounted) | Catalogue ratio i=15.53 (n2≈90 rpm), Sf 1.65 at 4 kW | Options included in Unit Price: Output flange €20.80</t>
        </is>
      </c>
    </row>
    <row r="119">
      <c r="A119" s="138" t="inlineStr">
        <is>
          <t>GB-113</t>
        </is>
      </c>
      <c r="B119" s="147" t="inlineStr">
        <is>
          <t>Helical Bevel</t>
        </is>
      </c>
      <c r="C119" s="147" t="inlineStr">
        <is>
          <t>K / Equivalent</t>
        </is>
      </c>
      <c r="D119" s="147" t="inlineStr">
        <is>
          <t>Supplier selection</t>
        </is>
      </c>
      <c r="E119" s="147" t="n">
        <v>4</v>
      </c>
      <c r="F119" s="147" t="inlineStr">
        <is>
          <t>1:20</t>
        </is>
      </c>
      <c r="G119" s="147" t="inlineStr">
        <is>
          <t>Foot mounted</t>
        </is>
      </c>
      <c r="H119" s="147" t="inlineStr">
        <is>
          <t>Solid output shaft</t>
        </is>
      </c>
      <c r="I119" s="147" t="inlineStr">
        <is>
          <t>IEC motor adaptor/input</t>
        </is>
      </c>
      <c r="J119" s="173" t="n">
        <v>1</v>
      </c>
      <c r="K119" s="174" t="n">
        <v>839.15</v>
      </c>
      <c r="L119" s="174" t="n">
        <v>839.15</v>
      </c>
      <c r="M119" s="141" t="inlineStr">
        <is>
          <t>TBC</t>
        </is>
      </c>
      <c r="N119" s="175" t="inlineStr">
        <is>
          <t>Quote output flange option || OFFERED: İ.Mak İRKP 83-SR i=19.33 + IEC 112 B5 (foot mounted) | Catalogue ratio i=19.33 (n2≈72 rpm), Sf 2.7 at 4 kW | Options included in Unit Price: Output flange €26.00</t>
        </is>
      </c>
    </row>
    <row r="120">
      <c r="A120" s="138" t="inlineStr">
        <is>
          <t>GB-114</t>
        </is>
      </c>
      <c r="B120" s="147" t="inlineStr">
        <is>
          <t>Helical Bevel</t>
        </is>
      </c>
      <c r="C120" s="147" t="inlineStr">
        <is>
          <t>K / Equivalent</t>
        </is>
      </c>
      <c r="D120" s="147" t="inlineStr">
        <is>
          <t>Supplier selection</t>
        </is>
      </c>
      <c r="E120" s="147" t="n">
        <v>4</v>
      </c>
      <c r="F120" s="147" t="inlineStr">
        <is>
          <t>1:30</t>
        </is>
      </c>
      <c r="G120" s="147" t="inlineStr">
        <is>
          <t>Foot mounted</t>
        </is>
      </c>
      <c r="H120" s="147" t="inlineStr">
        <is>
          <t>Solid output shaft</t>
        </is>
      </c>
      <c r="I120" s="147" t="inlineStr">
        <is>
          <t>IEC motor adaptor/input</t>
        </is>
      </c>
      <c r="J120" s="173" t="n">
        <v>1</v>
      </c>
      <c r="K120" s="174" t="n">
        <v>839.15</v>
      </c>
      <c r="L120" s="174" t="n">
        <v>839.15</v>
      </c>
      <c r="M120" s="141" t="inlineStr">
        <is>
          <t>TBC</t>
        </is>
      </c>
      <c r="N120" s="175" t="inlineStr">
        <is>
          <t>Quote output flange option || OFFERED: İ.Mak İRKP 83-SR i=31.34 + IEC 112 B5 (foot mounted) | Catalogue ratio i=31.34 (n2≈45 rpm), Sf 1.81 at 4 kW | Options included in Unit Price: Output flange €26.00</t>
        </is>
      </c>
    </row>
    <row r="121">
      <c r="A121" s="138" t="inlineStr">
        <is>
          <t>GB-115</t>
        </is>
      </c>
      <c r="B121" s="147" t="inlineStr">
        <is>
          <t>Helical Bevel</t>
        </is>
      </c>
      <c r="C121" s="147" t="inlineStr">
        <is>
          <t>K / Equivalent</t>
        </is>
      </c>
      <c r="D121" s="147" t="inlineStr">
        <is>
          <t>Supplier selection</t>
        </is>
      </c>
      <c r="E121" s="147" t="n">
        <v>5.5</v>
      </c>
      <c r="F121" s="147" t="inlineStr">
        <is>
          <t>1:20</t>
        </is>
      </c>
      <c r="G121" s="147" t="inlineStr">
        <is>
          <t>Foot mounted</t>
        </is>
      </c>
      <c r="H121" s="147" t="inlineStr">
        <is>
          <t>Solid output shaft</t>
        </is>
      </c>
      <c r="I121" s="147" t="inlineStr">
        <is>
          <t>IEC motor adaptor/input</t>
        </is>
      </c>
      <c r="J121" s="173" t="n">
        <v>1</v>
      </c>
      <c r="K121" s="174" t="n">
        <v>848.9</v>
      </c>
      <c r="L121" s="174" t="n">
        <v>848.9</v>
      </c>
      <c r="M121" s="141" t="inlineStr">
        <is>
          <t>TBC</t>
        </is>
      </c>
      <c r="N121" s="175" t="inlineStr">
        <is>
          <t>Quote output flange option || OFFERED: İ.Mak İRKP 83-SR i=19.33 + IEC 132 B5 (foot mounted) | Catalogue ratio i=19.33 (n2≈72 rpm), Sf 2.0 at 5.5 kW | Options included in Unit Price: Output flange €26.00</t>
        </is>
      </c>
    </row>
    <row r="122">
      <c r="A122" s="138" t="inlineStr">
        <is>
          <t>GB-116</t>
        </is>
      </c>
      <c r="B122" s="147" t="inlineStr">
        <is>
          <t>Helical Bevel</t>
        </is>
      </c>
      <c r="C122" s="147" t="inlineStr">
        <is>
          <t>K / Equivalent</t>
        </is>
      </c>
      <c r="D122" s="147" t="inlineStr">
        <is>
          <t>Supplier selection</t>
        </is>
      </c>
      <c r="E122" s="147" t="n">
        <v>5.5</v>
      </c>
      <c r="F122" s="147" t="inlineStr">
        <is>
          <t>1:30</t>
        </is>
      </c>
      <c r="G122" s="147" t="inlineStr">
        <is>
          <t>Foot mounted</t>
        </is>
      </c>
      <c r="H122" s="147" t="inlineStr">
        <is>
          <t>Solid output shaft</t>
        </is>
      </c>
      <c r="I122" s="147" t="inlineStr">
        <is>
          <t>IEC motor adaptor/input</t>
        </is>
      </c>
      <c r="J122" s="173" t="n">
        <v>1</v>
      </c>
      <c r="K122" s="174" t="n">
        <v>1155.7</v>
      </c>
      <c r="L122" s="174" t="n">
        <v>1155.7</v>
      </c>
      <c r="M122" s="141" t="inlineStr">
        <is>
          <t>TBC</t>
        </is>
      </c>
      <c r="N122" s="175" t="inlineStr">
        <is>
          <t>Quote output flange option || OFFERED: İ.Mak İRKP 93-SR i=29.78 + IEC 132 B5 (foot mounted) | Catalogue ratio i=29.78 (n2≈47 rpm), Sf 2.4 at 5.5 kW | Options included in Unit Price: Output flange €46.15</t>
        </is>
      </c>
    </row>
    <row r="123">
      <c r="A123" s="138" t="inlineStr">
        <is>
          <t>GB-117</t>
        </is>
      </c>
      <c r="B123" s="147" t="inlineStr">
        <is>
          <t>Helical Bevel</t>
        </is>
      </c>
      <c r="C123" s="147" t="inlineStr">
        <is>
          <t>K / Equivalent</t>
        </is>
      </c>
      <c r="D123" s="147" t="inlineStr">
        <is>
          <t>Supplier selection</t>
        </is>
      </c>
      <c r="E123" s="147" t="n">
        <v>7.5</v>
      </c>
      <c r="F123" s="147" t="inlineStr">
        <is>
          <t>1:20</t>
        </is>
      </c>
      <c r="G123" s="147" t="inlineStr">
        <is>
          <t>Foot mounted</t>
        </is>
      </c>
      <c r="H123" s="147" t="inlineStr">
        <is>
          <t>Solid output shaft</t>
        </is>
      </c>
      <c r="I123" s="147" t="inlineStr">
        <is>
          <t>IEC motor adaptor/input</t>
        </is>
      </c>
      <c r="J123" s="173" t="n">
        <v>1</v>
      </c>
      <c r="K123" s="174" t="n">
        <v>1155.7</v>
      </c>
      <c r="L123" s="174" t="n">
        <v>1155.7</v>
      </c>
      <c r="M123" s="141" t="inlineStr">
        <is>
          <t>TBC</t>
        </is>
      </c>
      <c r="N123" s="175" t="inlineStr">
        <is>
          <t>Quote output flange option || OFFERED: İ.Mak İRKP 93-SR i=20.8 + IEC 132 B5 (foot mounted) | Catalogue ratio i=20.8 (n2≈67 rpm), Sf 2.4 at 7.5 kW | Options included in Unit Price: Output flange €46.15</t>
        </is>
      </c>
    </row>
    <row r="124">
      <c r="A124" s="138" t="inlineStr">
        <is>
          <t>GB-118</t>
        </is>
      </c>
      <c r="B124" s="147" t="inlineStr">
        <is>
          <t>Helical Bevel</t>
        </is>
      </c>
      <c r="C124" s="147" t="inlineStr">
        <is>
          <t>K / Equivalent</t>
        </is>
      </c>
      <c r="D124" s="147" t="inlineStr">
        <is>
          <t>Supplier selection</t>
        </is>
      </c>
      <c r="E124" s="147" t="n">
        <v>11</v>
      </c>
      <c r="F124" s="147" t="inlineStr">
        <is>
          <t>1:30</t>
        </is>
      </c>
      <c r="G124" s="147" t="inlineStr">
        <is>
          <t>Foot mounted</t>
        </is>
      </c>
      <c r="H124" s="147" t="inlineStr">
        <is>
          <t>Solid output shaft</t>
        </is>
      </c>
      <c r="I124" s="147" t="inlineStr">
        <is>
          <t>IEC motor adaptor/input</t>
        </is>
      </c>
      <c r="J124" s="173" t="n">
        <v>1</v>
      </c>
      <c r="K124" s="174" t="n">
        <v>1756.3</v>
      </c>
      <c r="L124" s="174" t="n">
        <v>1756.3</v>
      </c>
      <c r="M124" s="141" t="inlineStr">
        <is>
          <t>TBC</t>
        </is>
      </c>
      <c r="N124" s="175" t="inlineStr">
        <is>
          <t>Quote output flange option || OFFERED: İ.Mak İRKP 103-SR i=30.65 + IEC 160 B5 (foot mounted) | Catalogue ratio i=30.65 (n2≈46 rpm), Sf 1.9 at 11 kW | Options included in Unit Price: Output flange €83.85</t>
        </is>
      </c>
    </row>
    <row r="125">
      <c r="A125" s="138" t="inlineStr">
        <is>
          <t>GB-119</t>
        </is>
      </c>
      <c r="B125" s="147" t="inlineStr">
        <is>
          <t>Helical Bevel</t>
        </is>
      </c>
      <c r="C125" s="147" t="inlineStr">
        <is>
          <t>K / Equivalent</t>
        </is>
      </c>
      <c r="D125" s="147" t="inlineStr">
        <is>
          <t>Supplier selection</t>
        </is>
      </c>
      <c r="E125" s="147" t="n">
        <v>15</v>
      </c>
      <c r="F125" s="147" t="inlineStr">
        <is>
          <t>1:30</t>
        </is>
      </c>
      <c r="G125" s="147" t="inlineStr">
        <is>
          <t>Foot mounted</t>
        </is>
      </c>
      <c r="H125" s="147" t="inlineStr">
        <is>
          <t>Solid output shaft</t>
        </is>
      </c>
      <c r="I125" s="147" t="inlineStr">
        <is>
          <t>IEC motor adaptor/input</t>
        </is>
      </c>
      <c r="J125" s="173" t="n">
        <v>1</v>
      </c>
      <c r="K125" s="174" t="n">
        <v>2716.35</v>
      </c>
      <c r="L125" s="174" t="n">
        <v>2716.35</v>
      </c>
      <c r="M125" s="141" t="inlineStr">
        <is>
          <t>TBC</t>
        </is>
      </c>
      <c r="N125" s="175" t="inlineStr">
        <is>
          <t>Quote output flange option || OFFERED: İ.Mak İRKP 123-SR i=30.13 + IEC 160 B5 (foot mounted) | Catalogue ratio i=30.13 (n2≈46 rpm), Sf 2.4 at 15 kW | Options included in Unit Price: Output flange €124.80</t>
        </is>
      </c>
    </row>
    <row r="126">
      <c r="A126" s="138" t="inlineStr">
        <is>
          <t>GB-120</t>
        </is>
      </c>
      <c r="B126" s="147" t="inlineStr">
        <is>
          <t>Helical Bevel</t>
        </is>
      </c>
      <c r="C126" s="147" t="inlineStr">
        <is>
          <t>K / Equivalent</t>
        </is>
      </c>
      <c r="D126" s="147" t="inlineStr">
        <is>
          <t>Supplier selection</t>
        </is>
      </c>
      <c r="E126" s="147" t="n">
        <v>22</v>
      </c>
      <c r="F126" s="147" t="inlineStr">
        <is>
          <t>1:40</t>
        </is>
      </c>
      <c r="G126" s="147" t="inlineStr">
        <is>
          <t>Foot mounted</t>
        </is>
      </c>
      <c r="H126" s="147" t="inlineStr">
        <is>
          <t>Solid output shaft</t>
        </is>
      </c>
      <c r="I126" s="147" t="inlineStr">
        <is>
          <t>IEC motor adaptor/input</t>
        </is>
      </c>
      <c r="J126" s="173" t="n">
        <v>1</v>
      </c>
      <c r="K126" s="174" t="n">
        <v>4152.85</v>
      </c>
      <c r="L126" s="174" t="n">
        <v>4152.85</v>
      </c>
      <c r="M126" s="141" t="inlineStr">
        <is>
          <t>TBC</t>
        </is>
      </c>
      <c r="N126" s="175" t="inlineStr">
        <is>
          <t>Quote output flange option || OFFERED: İ.Mak İRKP 143-SR i=41.15 + IEC 180 B5 (foot mounted) | Catalogue ratio i=41.15 (n2≈34 rpm), Sf 2.2 at 22 kW | Options included in Unit Price: Output flange €196.30</t>
        </is>
      </c>
    </row>
    <row r="127">
      <c r="A127" s="138" t="inlineStr">
        <is>
          <t>GB-121</t>
        </is>
      </c>
      <c r="B127" s="147" t="inlineStr">
        <is>
          <t>Parallel Shaft</t>
        </is>
      </c>
      <c r="C127" s="147" t="inlineStr">
        <is>
          <t>F / Equivalent</t>
        </is>
      </c>
      <c r="D127" s="147" t="inlineStr">
        <is>
          <t>Supplier selection</t>
        </is>
      </c>
      <c r="E127" s="147" t="n">
        <v>1.5</v>
      </c>
      <c r="F127" s="147" t="inlineStr">
        <is>
          <t>1:10</t>
        </is>
      </c>
      <c r="G127" s="147" t="inlineStr">
        <is>
          <t>Torque-arm / universal</t>
        </is>
      </c>
      <c r="H127" s="147" t="inlineStr">
        <is>
          <t>Hollow shaft, keyed</t>
        </is>
      </c>
      <c r="I127" s="147" t="inlineStr">
        <is>
          <t>IEC motor adaptor/input</t>
        </is>
      </c>
      <c r="J127" s="173" t="n">
        <v>1</v>
      </c>
      <c r="K127" s="174" t="n">
        <v>230.1</v>
      </c>
      <c r="L127" s="174" t="n">
        <v>230.1</v>
      </c>
      <c r="M127" s="141" t="inlineStr">
        <is>
          <t>TBC</t>
        </is>
      </c>
      <c r="N127" s="175" t="inlineStr">
        <is>
          <t>Include torque arm; quote shrink-disc option || OFFERED: İ.Mak YPP 52-TL i=9.997 + IEC 90 B5 | Catalogue ratio i=9.997 (n2≈140 rpm), Sf 1.98 at 1.5 kW; Torque arm: price on request | Options included in Unit Price: Shrink disc €39.00</t>
        </is>
      </c>
    </row>
    <row r="128">
      <c r="A128" s="138" t="inlineStr">
        <is>
          <t>GB-122</t>
        </is>
      </c>
      <c r="B128" s="147" t="inlineStr">
        <is>
          <t>Parallel Shaft</t>
        </is>
      </c>
      <c r="C128" s="147" t="inlineStr">
        <is>
          <t>F / Equivalent</t>
        </is>
      </c>
      <c r="D128" s="147" t="inlineStr">
        <is>
          <t>Supplier selection</t>
        </is>
      </c>
      <c r="E128" s="147" t="n">
        <v>1.5</v>
      </c>
      <c r="F128" s="147" t="inlineStr">
        <is>
          <t>1:20</t>
        </is>
      </c>
      <c r="G128" s="147" t="inlineStr">
        <is>
          <t>Torque-arm / universal</t>
        </is>
      </c>
      <c r="H128" s="147" t="inlineStr">
        <is>
          <t>Hollow shaft, keyed</t>
        </is>
      </c>
      <c r="I128" s="147" t="inlineStr">
        <is>
          <t>IEC motor adaptor/input</t>
        </is>
      </c>
      <c r="J128" s="173" t="n">
        <v>1</v>
      </c>
      <c r="K128" s="174" t="n">
        <v>301.6</v>
      </c>
      <c r="L128" s="174" t="n">
        <v>301.6</v>
      </c>
      <c r="M128" s="141" t="inlineStr">
        <is>
          <t>TBC</t>
        </is>
      </c>
      <c r="N128" s="175" t="inlineStr">
        <is>
          <t>Include torque arm; quote shrink-disc option || OFFERED: İ.Mak YPP 62-TL i=20.18 + IEC 90 B5 | Catalogue ratio i=20.18 (n2≈69 rpm), Sf 2.1 at 1.5 kW; Torque arm: price on request | Options included in Unit Price: Shrink disc €44.20</t>
        </is>
      </c>
    </row>
    <row r="129">
      <c r="A129" s="138" t="inlineStr">
        <is>
          <t>GB-123</t>
        </is>
      </c>
      <c r="B129" s="147" t="inlineStr">
        <is>
          <t>Parallel Shaft</t>
        </is>
      </c>
      <c r="C129" s="147" t="inlineStr">
        <is>
          <t>F / Equivalent</t>
        </is>
      </c>
      <c r="D129" s="147" t="inlineStr">
        <is>
          <t>Supplier selection</t>
        </is>
      </c>
      <c r="E129" s="147" t="n">
        <v>2.2</v>
      </c>
      <c r="F129" s="147" t="inlineStr">
        <is>
          <t>1:15</t>
        </is>
      </c>
      <c r="G129" s="147" t="inlineStr">
        <is>
          <t>Torque-arm / universal</t>
        </is>
      </c>
      <c r="H129" s="147" t="inlineStr">
        <is>
          <t>Hollow shaft, keyed</t>
        </is>
      </c>
      <c r="I129" s="147" t="inlineStr">
        <is>
          <t>IEC motor adaptor/input</t>
        </is>
      </c>
      <c r="J129" s="173" t="n">
        <v>1</v>
      </c>
      <c r="K129" s="174" t="n">
        <v>311.35</v>
      </c>
      <c r="L129" s="174" t="n">
        <v>311.35</v>
      </c>
      <c r="M129" s="141" t="inlineStr">
        <is>
          <t>TBC</t>
        </is>
      </c>
      <c r="N129" s="175" t="inlineStr">
        <is>
          <t>Include torque arm; quote shrink-disc option || OFFERED: İ.Mak YPP 62-TL i=14.78 + IEC 100 B5 | Catalogue ratio i=14.78 (n2≈95 rpm), Sf 1.85 at 2.2 kW; Torque arm: price on request | Options included in Unit Price: Shrink disc €44.20</t>
        </is>
      </c>
    </row>
    <row r="130">
      <c r="A130" s="138" t="inlineStr">
        <is>
          <t>GB-124</t>
        </is>
      </c>
      <c r="B130" s="147" t="inlineStr">
        <is>
          <t>Parallel Shaft</t>
        </is>
      </c>
      <c r="C130" s="147" t="inlineStr">
        <is>
          <t>F / Equivalent</t>
        </is>
      </c>
      <c r="D130" s="147" t="inlineStr">
        <is>
          <t>Supplier selection</t>
        </is>
      </c>
      <c r="E130" s="147" t="n">
        <v>2.2</v>
      </c>
      <c r="F130" s="147" t="inlineStr">
        <is>
          <t>1:30</t>
        </is>
      </c>
      <c r="G130" s="147" t="inlineStr">
        <is>
          <t>Torque-arm / universal</t>
        </is>
      </c>
      <c r="H130" s="147" t="inlineStr">
        <is>
          <t>Hollow shaft, keyed</t>
        </is>
      </c>
      <c r="I130" s="147" t="inlineStr">
        <is>
          <t>IEC motor adaptor/input</t>
        </is>
      </c>
      <c r="J130" s="173" t="n">
        <v>1</v>
      </c>
      <c r="K130" s="174" t="n">
        <v>462.8</v>
      </c>
      <c r="L130" s="174" t="n">
        <v>462.8</v>
      </c>
      <c r="M130" s="141" t="inlineStr">
        <is>
          <t>TBC</t>
        </is>
      </c>
      <c r="N130" s="175" t="inlineStr">
        <is>
          <t>Include torque arm; quote shrink-disc option || OFFERED: İ.Mak YPP 73-TL i=29.69 + IEC 100 B5 | Catalogue ratio i=29.69 (n2≈47 rpm), Sf 1.85 at 2.2 kW; Torque arm: price on request | Options included in Unit Price: Shrink disc €66.95</t>
        </is>
      </c>
    </row>
    <row r="131">
      <c r="A131" s="138" t="inlineStr">
        <is>
          <t>GB-125</t>
        </is>
      </c>
      <c r="B131" s="147" t="inlineStr">
        <is>
          <t>Parallel Shaft</t>
        </is>
      </c>
      <c r="C131" s="147" t="inlineStr">
        <is>
          <t>F / Equivalent</t>
        </is>
      </c>
      <c r="D131" s="147" t="inlineStr">
        <is>
          <t>Supplier selection</t>
        </is>
      </c>
      <c r="E131" s="147" t="n">
        <v>3</v>
      </c>
      <c r="F131" s="147" t="inlineStr">
        <is>
          <t>1:20</t>
        </is>
      </c>
      <c r="G131" s="147" t="inlineStr">
        <is>
          <t>Torque-arm / universal</t>
        </is>
      </c>
      <c r="H131" s="147" t="inlineStr">
        <is>
          <t>Hollow shaft, keyed</t>
        </is>
      </c>
      <c r="I131" s="147" t="inlineStr">
        <is>
          <t>IEC motor adaptor/input</t>
        </is>
      </c>
      <c r="J131" s="173" t="n">
        <v>1</v>
      </c>
      <c r="K131" s="174" t="n">
        <v>449.8</v>
      </c>
      <c r="L131" s="174" t="n">
        <v>449.8</v>
      </c>
      <c r="M131" s="141" t="inlineStr">
        <is>
          <t>TBC</t>
        </is>
      </c>
      <c r="N131" s="175" t="inlineStr">
        <is>
          <t>Include torque arm; quote shrink-disc option || OFFERED: İ.Mak YPP 72-TL i=19.89 + IEC 100 B5 | Catalogue ratio i=19.89 (n2≈70 rpm), Sf 2.1 at 3 kW; Torque arm: price on request | Options included in Unit Price: Shrink disc €66.95</t>
        </is>
      </c>
    </row>
    <row r="132">
      <c r="A132" s="138" t="inlineStr">
        <is>
          <t>GB-126</t>
        </is>
      </c>
      <c r="B132" s="147" t="inlineStr">
        <is>
          <t>Parallel Shaft</t>
        </is>
      </c>
      <c r="C132" s="147" t="inlineStr">
        <is>
          <t>F / Equivalent</t>
        </is>
      </c>
      <c r="D132" s="147" t="inlineStr">
        <is>
          <t>Supplier selection</t>
        </is>
      </c>
      <c r="E132" s="147" t="n">
        <v>3</v>
      </c>
      <c r="F132" s="147" t="inlineStr">
        <is>
          <t>1:40</t>
        </is>
      </c>
      <c r="G132" s="147" t="inlineStr">
        <is>
          <t>Torque-arm / universal</t>
        </is>
      </c>
      <c r="H132" s="147" t="inlineStr">
        <is>
          <t>Hollow shaft, keyed</t>
        </is>
      </c>
      <c r="I132" s="147" t="inlineStr">
        <is>
          <t>IEC motor adaptor/input</t>
        </is>
      </c>
      <c r="J132" s="173" t="n">
        <v>1</v>
      </c>
      <c r="K132" s="174" t="n">
        <v>702.65</v>
      </c>
      <c r="L132" s="174" t="n">
        <v>702.65</v>
      </c>
      <c r="M132" s="141" t="inlineStr">
        <is>
          <t>TBC</t>
        </is>
      </c>
      <c r="N132" s="175" t="inlineStr">
        <is>
          <t>Include torque arm; quote shrink-disc option || OFFERED: İ.Mak YPP 83-TL i=42.58 + IEC 100 B5 | Catalogue ratio i=42.58 (n2≈33 rpm), Sf 1.85 at 3 kW; Torque arm: price on request | Options included in Unit Price: Shrink disc €105.30</t>
        </is>
      </c>
    </row>
    <row r="133">
      <c r="A133" s="138" t="inlineStr">
        <is>
          <t>GB-127</t>
        </is>
      </c>
      <c r="B133" s="147" t="inlineStr">
        <is>
          <t>Parallel Shaft</t>
        </is>
      </c>
      <c r="C133" s="147" t="inlineStr">
        <is>
          <t>F / Equivalent</t>
        </is>
      </c>
      <c r="D133" s="147" t="inlineStr">
        <is>
          <t>Supplier selection</t>
        </is>
      </c>
      <c r="E133" s="147" t="n">
        <v>4</v>
      </c>
      <c r="F133" s="147" t="inlineStr">
        <is>
          <t>1:20</t>
        </is>
      </c>
      <c r="G133" s="147" t="inlineStr">
        <is>
          <t>Torque-arm / universal</t>
        </is>
      </c>
      <c r="H133" s="147" t="inlineStr">
        <is>
          <t>Hollow shaft, keyed</t>
        </is>
      </c>
      <c r="I133" s="147" t="inlineStr">
        <is>
          <t>IEC motor adaptor/input</t>
        </is>
      </c>
      <c r="J133" s="173" t="n">
        <v>1</v>
      </c>
      <c r="K133" s="174" t="n">
        <v>449.8</v>
      </c>
      <c r="L133" s="174" t="n">
        <v>449.8</v>
      </c>
      <c r="M133" s="141" t="inlineStr">
        <is>
          <t>TBC</t>
        </is>
      </c>
      <c r="N133" s="175" t="inlineStr">
        <is>
          <t>Include torque arm; quote shrink-disc option || OFFERED: İ.Mak YPP 72-TL i=19.89 + IEC 112 B5 | Catalogue ratio i=19.89 (n2≈70 rpm), Sf 1.57 at 4 kW; Torque arm: price on request | Options included in Unit Price: Shrink disc €66.95</t>
        </is>
      </c>
    </row>
    <row r="134">
      <c r="A134" s="138" t="inlineStr">
        <is>
          <t>GB-128</t>
        </is>
      </c>
      <c r="B134" s="147" t="inlineStr">
        <is>
          <t>Parallel Shaft</t>
        </is>
      </c>
      <c r="C134" s="147" t="inlineStr">
        <is>
          <t>F / Equivalent</t>
        </is>
      </c>
      <c r="D134" s="147" t="inlineStr">
        <is>
          <t>Supplier selection</t>
        </is>
      </c>
      <c r="E134" s="147" t="n">
        <v>4</v>
      </c>
      <c r="F134" s="147" t="inlineStr">
        <is>
          <t>1:30</t>
        </is>
      </c>
      <c r="G134" s="147" t="inlineStr">
        <is>
          <t>Torque-arm / universal</t>
        </is>
      </c>
      <c r="H134" s="147" t="inlineStr">
        <is>
          <t>Hollow shaft, keyed</t>
        </is>
      </c>
      <c r="I134" s="147" t="inlineStr">
        <is>
          <t>IEC motor adaptor/input</t>
        </is>
      </c>
      <c r="J134" s="173" t="n">
        <v>1</v>
      </c>
      <c r="K134" s="174" t="n">
        <v>702.65</v>
      </c>
      <c r="L134" s="174" t="n">
        <v>702.65</v>
      </c>
      <c r="M134" s="141" t="inlineStr">
        <is>
          <t>TBC</t>
        </is>
      </c>
      <c r="N134" s="175" t="inlineStr">
        <is>
          <t>Include torque arm; quote shrink-disc option || OFFERED: İ.Mak YPP 83-TL i=30.34 + IEC 112 B5 | Catalogue ratio i=30.34 (n2≈46 rpm), Sf 1.95 at 4 kW; Torque arm: price on request | Options included in Unit Price: Shrink disc €105.30</t>
        </is>
      </c>
    </row>
    <row r="135">
      <c r="A135" s="138" t="inlineStr">
        <is>
          <t>GB-129</t>
        </is>
      </c>
      <c r="B135" s="147" t="inlineStr">
        <is>
          <t>Parallel Shaft</t>
        </is>
      </c>
      <c r="C135" s="147" t="inlineStr">
        <is>
          <t>F / Equivalent</t>
        </is>
      </c>
      <c r="D135" s="147" t="inlineStr">
        <is>
          <t>Supplier selection</t>
        </is>
      </c>
      <c r="E135" s="147" t="n">
        <v>5.5</v>
      </c>
      <c r="F135" s="147" t="inlineStr">
        <is>
          <t>1:20</t>
        </is>
      </c>
      <c r="G135" s="147" t="inlineStr">
        <is>
          <t>Torque-arm / universal</t>
        </is>
      </c>
      <c r="H135" s="147" t="inlineStr">
        <is>
          <t>Hollow shaft, keyed</t>
        </is>
      </c>
      <c r="I135" s="147" t="inlineStr">
        <is>
          <t>IEC motor adaptor/input</t>
        </is>
      </c>
      <c r="J135" s="173" t="n">
        <v>1</v>
      </c>
      <c r="K135" s="174" t="n">
        <v>692.9</v>
      </c>
      <c r="L135" s="174" t="n">
        <v>692.9</v>
      </c>
      <c r="M135" s="141" t="inlineStr">
        <is>
          <t>TBC</t>
        </is>
      </c>
      <c r="N135" s="175" t="inlineStr">
        <is>
          <t>Include torque arm; quote shrink-disc option || OFFERED: İ.Mak YPP 82-TL i=20.69 + IEC 132 B5 | Catalogue ratio i=20.69 (n2≈68 rpm), Sf 1.69 at 5.5 kW; Torque arm: price on request | Options included in Unit Price: Shrink disc €105.30</t>
        </is>
      </c>
    </row>
    <row r="136">
      <c r="A136" s="138" t="inlineStr">
        <is>
          <t>GB-130</t>
        </is>
      </c>
      <c r="B136" s="147" t="inlineStr">
        <is>
          <t>Parallel Shaft</t>
        </is>
      </c>
      <c r="C136" s="147" t="inlineStr">
        <is>
          <t>F / Equivalent</t>
        </is>
      </c>
      <c r="D136" s="147" t="inlineStr">
        <is>
          <t>Supplier selection</t>
        </is>
      </c>
      <c r="E136" s="147" t="n">
        <v>5.5</v>
      </c>
      <c r="F136" s="147" t="inlineStr">
        <is>
          <t>1:40</t>
        </is>
      </c>
      <c r="G136" s="147" t="inlineStr">
        <is>
          <t>Torque-arm / universal</t>
        </is>
      </c>
      <c r="H136" s="147" t="inlineStr">
        <is>
          <t>Hollow shaft, keyed</t>
        </is>
      </c>
      <c r="I136" s="147" t="inlineStr">
        <is>
          <t>IEC motor adaptor/input</t>
        </is>
      </c>
      <c r="J136" s="173" t="n">
        <v>1</v>
      </c>
      <c r="K136" s="174" t="n">
        <v>1032.2</v>
      </c>
      <c r="L136" s="174" t="n">
        <v>1032.2</v>
      </c>
      <c r="M136" s="141" t="inlineStr">
        <is>
          <t>TBC</t>
        </is>
      </c>
      <c r="N136" s="175" t="inlineStr">
        <is>
          <t>Include torque arm; quote shrink-disc option || OFFERED: İ.Mak YPP 93-TL i=40.62 + IEC 132 B5 | Catalogue ratio i=40.62 (n2≈34 rpm), Sf 1.92 at 5.5 kW; Torque arm: price on request | Options included in Unit Price: Shrink disc €138.45</t>
        </is>
      </c>
    </row>
    <row r="137">
      <c r="A137" s="138" t="inlineStr">
        <is>
          <t>GB-131</t>
        </is>
      </c>
      <c r="B137" s="147" t="inlineStr">
        <is>
          <t>Parallel Shaft</t>
        </is>
      </c>
      <c r="C137" s="147" t="inlineStr">
        <is>
          <t>F / Equivalent</t>
        </is>
      </c>
      <c r="D137" s="147" t="inlineStr">
        <is>
          <t>Supplier selection</t>
        </is>
      </c>
      <c r="E137" s="147" t="n">
        <v>7.5</v>
      </c>
      <c r="F137" s="147" t="inlineStr">
        <is>
          <t>1:25</t>
        </is>
      </c>
      <c r="G137" s="147" t="inlineStr">
        <is>
          <t>B3 foot</t>
        </is>
      </c>
      <c r="H137" s="147" t="inlineStr">
        <is>
          <t>Solid output shaft</t>
        </is>
      </c>
      <c r="I137" s="147" t="inlineStr">
        <is>
          <t>IEC motor adaptor/input</t>
        </is>
      </c>
      <c r="J137" s="173" t="n">
        <v>1</v>
      </c>
      <c r="K137" s="174" t="n">
        <v>925.6</v>
      </c>
      <c r="L137" s="174" t="n">
        <v>925.6</v>
      </c>
      <c r="M137" s="141" t="inlineStr">
        <is>
          <t>TBC</t>
        </is>
      </c>
      <c r="N137" s="175" t="inlineStr">
        <is>
          <t>Quote output flange option || OFFERED: İ.Mak YPP 92-SL i=26.19 + IEC 132 B5 (foot mounted) | Catalogue ratio i=26.19 (n2≈53 rpm), Sf 2.1 at 7.5 kW | Options included in Unit Price: Output flange €40.30</t>
        </is>
      </c>
    </row>
    <row r="138">
      <c r="A138" s="138" t="inlineStr">
        <is>
          <t>GB-132</t>
        </is>
      </c>
      <c r="B138" s="147" t="inlineStr">
        <is>
          <t>Parallel Shaft</t>
        </is>
      </c>
      <c r="C138" s="147" t="inlineStr">
        <is>
          <t>F / Equivalent</t>
        </is>
      </c>
      <c r="D138" s="147" t="inlineStr">
        <is>
          <t>Supplier selection</t>
        </is>
      </c>
      <c r="E138" s="147" t="n">
        <v>11</v>
      </c>
      <c r="F138" s="147" t="inlineStr">
        <is>
          <t>1:30</t>
        </is>
      </c>
      <c r="G138" s="147" t="inlineStr">
        <is>
          <t>B3 foot</t>
        </is>
      </c>
      <c r="H138" s="147" t="inlineStr">
        <is>
          <t>Solid output shaft</t>
        </is>
      </c>
      <c r="I138" s="147" t="inlineStr">
        <is>
          <t>IEC motor adaptor/input</t>
        </is>
      </c>
      <c r="J138" s="173" t="n">
        <v>1</v>
      </c>
      <c r="K138" s="174" t="n">
        <v>1504.75</v>
      </c>
      <c r="L138" s="174" t="n">
        <v>1504.75</v>
      </c>
      <c r="M138" s="141" t="inlineStr">
        <is>
          <t>TBC</t>
        </is>
      </c>
      <c r="N138" s="175" t="inlineStr">
        <is>
          <t>Quote output flange option || OFFERED: İ.Mak YPP 103-SL i=28.84 + IEC 160 B5 (foot mounted) | Catalogue ratio i=28.84 (n2≈49 rpm), Sf 1.94 at 11 kW | Options included in Unit Price: Output flange €74.75</t>
        </is>
      </c>
    </row>
    <row r="139">
      <c r="A139" s="138" t="inlineStr">
        <is>
          <t>GB-133</t>
        </is>
      </c>
      <c r="B139" s="147" t="inlineStr">
        <is>
          <t>Parallel Shaft</t>
        </is>
      </c>
      <c r="C139" s="147" t="inlineStr">
        <is>
          <t>F / Equivalent</t>
        </is>
      </c>
      <c r="D139" s="147" t="inlineStr">
        <is>
          <t>Supplier selection</t>
        </is>
      </c>
      <c r="E139" s="147" t="n">
        <v>15</v>
      </c>
      <c r="F139" s="147" t="inlineStr">
        <is>
          <t>1:40</t>
        </is>
      </c>
      <c r="G139" s="147" t="inlineStr">
        <is>
          <t>B3 foot</t>
        </is>
      </c>
      <c r="H139" s="147" t="inlineStr">
        <is>
          <t>Solid output shaft</t>
        </is>
      </c>
      <c r="I139" s="147" t="inlineStr">
        <is>
          <t>IEC motor adaptor/input</t>
        </is>
      </c>
      <c r="J139" s="173" t="n">
        <v>1</v>
      </c>
      <c r="K139" s="174" t="n">
        <v>2061.15</v>
      </c>
      <c r="L139" s="174" t="n">
        <v>2061.15</v>
      </c>
      <c r="M139" s="141" t="inlineStr">
        <is>
          <t>TBC</t>
        </is>
      </c>
      <c r="N139" s="175" t="inlineStr">
        <is>
          <t>Quote output flange option || OFFERED: İ.Mak YPP 123-SL i=40.73 + IEC 160 B5 (foot mounted) | Catalogue ratio i=40.73 (n2≈34 rpm), Sf 1.83 at 15 kW | Options included in Unit Price: Output flange €113.10</t>
        </is>
      </c>
    </row>
    <row r="140">
      <c r="A140" s="138" t="inlineStr">
        <is>
          <t>GB-134</t>
        </is>
      </c>
      <c r="B140" s="147" t="inlineStr">
        <is>
          <t>Parallel Shaft</t>
        </is>
      </c>
      <c r="C140" s="147" t="inlineStr">
        <is>
          <t>F / Equivalent</t>
        </is>
      </c>
      <c r="D140" s="147" t="inlineStr">
        <is>
          <t>Supplier selection</t>
        </is>
      </c>
      <c r="E140" s="147" t="n">
        <v>22</v>
      </c>
      <c r="F140" s="147" t="inlineStr">
        <is>
          <t>1:40</t>
        </is>
      </c>
      <c r="G140" s="147" t="inlineStr">
        <is>
          <t>B3 foot</t>
        </is>
      </c>
      <c r="H140" s="147" t="inlineStr">
        <is>
          <t>Solid output shaft</t>
        </is>
      </c>
      <c r="I140" s="147" t="inlineStr">
        <is>
          <t>IEC motor adaptor/input</t>
        </is>
      </c>
      <c r="J140" s="173" t="n">
        <v>1</v>
      </c>
      <c r="K140" s="174" t="n">
        <v>3318.25</v>
      </c>
      <c r="L140" s="174" t="n">
        <v>3318.25</v>
      </c>
      <c r="M140" s="141" t="inlineStr">
        <is>
          <t>TBC</t>
        </is>
      </c>
      <c r="N140" s="175" t="inlineStr">
        <is>
          <t>Quote output flange option || OFFERED: İ.Mak YPP 143-SL i=38.8 + IEC 180 B5 (foot mounted) | Catalogue ratio i=38.8 (n2≈36 rpm), Sf 2.4 at 22 kW | Options included in Unit Price: Output flange €178.75</t>
        </is>
      </c>
    </row>
    <row r="141">
      <c r="A141" s="138" t="inlineStr">
        <is>
          <t>GB-135</t>
        </is>
      </c>
      <c r="B141" s="147" t="inlineStr">
        <is>
          <t>Parallel Shaft</t>
        </is>
      </c>
      <c r="C141" s="147" t="inlineStr">
        <is>
          <t>F / Equivalent</t>
        </is>
      </c>
      <c r="D141" s="147" t="inlineStr">
        <is>
          <t>Supplier selection</t>
        </is>
      </c>
      <c r="E141" s="147" t="n">
        <v>30</v>
      </c>
      <c r="F141" s="147" t="inlineStr">
        <is>
          <t>1:50</t>
        </is>
      </c>
      <c r="G141" s="147" t="inlineStr">
        <is>
          <t>B3 foot</t>
        </is>
      </c>
      <c r="H141" s="147" t="inlineStr">
        <is>
          <t>Solid output shaft</t>
        </is>
      </c>
      <c r="I141" s="147" t="inlineStr">
        <is>
          <t>IEC motor adaptor/input</t>
        </is>
      </c>
      <c r="J141" s="173" t="n">
        <v>1</v>
      </c>
      <c r="K141" s="174" t="n">
        <v>4844.45</v>
      </c>
      <c r="L141" s="174" t="n">
        <v>4844.45</v>
      </c>
      <c r="M141" s="141" t="inlineStr">
        <is>
          <t>TBC</t>
        </is>
      </c>
      <c r="N141" s="175" t="inlineStr">
        <is>
          <t>Quote output flange option || OFFERED: İ.Mak YPP 153-SL i=50.72 + IEC 200 B5 (foot mounted) | Catalogue ratio i=50.72 (n2≈28 rpm), Sf 1.9 at 30 kW | Options included in Unit Price: Output flange €240.50</t>
        </is>
      </c>
    </row>
    <row r="142">
      <c r="A142" s="138" t="inlineStr">
        <is>
          <t>GB-136</t>
        </is>
      </c>
      <c r="B142" s="147" t="inlineStr">
        <is>
          <t>Shaft Mounted Reducer</t>
        </is>
      </c>
      <c r="C142" s="147" t="inlineStr">
        <is>
          <t>SMSR / Equivalent</t>
        </is>
      </c>
      <c r="D142" s="147" t="inlineStr">
        <is>
          <t>Supplier selection</t>
        </is>
      </c>
      <c r="E142" s="147" t="n">
        <v>2.2</v>
      </c>
      <c r="F142" s="147" t="inlineStr">
        <is>
          <t>1:5</t>
        </is>
      </c>
      <c r="G142" s="147" t="inlineStr">
        <is>
          <t>Torque-arm mounted</t>
        </is>
      </c>
      <c r="H142" s="147" t="inlineStr">
        <is>
          <t>Hollow shaft, keyed</t>
        </is>
      </c>
      <c r="I142" s="147" t="inlineStr">
        <is>
          <t>IEC motor adaptor/input</t>
        </is>
      </c>
      <c r="J142" s="173" t="n">
        <v>1</v>
      </c>
      <c r="K142" s="174" t="n">
        <v>204.75</v>
      </c>
      <c r="L142" s="174" t="n">
        <v>204.75</v>
      </c>
      <c r="M142" s="141" t="inlineStr">
        <is>
          <t>TBC</t>
        </is>
      </c>
      <c r="N142" s="175" t="inlineStr">
        <is>
          <t>Include torque arm; quote input shaft, pulley and backstop separately || OFFERED: İ.Mak İRNX 01 i=5 | DEVIATION: input shaft for belt drive, no IEC adaptor available; Backstop not available on İRNX 01; Torque arm, pulley and belts: price on request</t>
        </is>
      </c>
    </row>
    <row r="143">
      <c r="A143" s="138" t="inlineStr">
        <is>
          <t>GB-137</t>
        </is>
      </c>
      <c r="B143" s="147" t="inlineStr">
        <is>
          <t>Shaft Mounted Reducer</t>
        </is>
      </c>
      <c r="C143" s="147" t="inlineStr">
        <is>
          <t>SMSR / Equivalent</t>
        </is>
      </c>
      <c r="D143" s="147" t="inlineStr">
        <is>
          <t>Supplier selection</t>
        </is>
      </c>
      <c r="E143" s="147" t="n">
        <v>2.2</v>
      </c>
      <c r="F143" s="147" t="inlineStr">
        <is>
          <t>1:13</t>
        </is>
      </c>
      <c r="G143" s="147" t="inlineStr">
        <is>
          <t>Torque-arm mounted</t>
        </is>
      </c>
      <c r="H143" s="147" t="inlineStr">
        <is>
          <t>Hollow shaft, keyed</t>
        </is>
      </c>
      <c r="I143" s="147" t="inlineStr">
        <is>
          <t>IEC motor adaptor/input</t>
        </is>
      </c>
      <c r="J143" s="173" t="n">
        <v>1</v>
      </c>
      <c r="K143" s="174" t="n">
        <v>204.75</v>
      </c>
      <c r="L143" s="174" t="n">
        <v>204.75</v>
      </c>
      <c r="M143" s="141" t="inlineStr">
        <is>
          <t>TBC</t>
        </is>
      </c>
      <c r="N143" s="175" t="inlineStr">
        <is>
          <t>Include torque arm; quote input shaft, pulley and backstop separately || OFFERED: İ.Mak İRNX 01 i=13 | DEVIATION: input shaft for belt drive, no IEC adaptor available; Backstop not available on İRNX 01; Torque arm, pulley and belts: price on request</t>
        </is>
      </c>
    </row>
    <row r="144">
      <c r="A144" s="138" t="inlineStr">
        <is>
          <t>GB-138</t>
        </is>
      </c>
      <c r="B144" s="147" t="inlineStr">
        <is>
          <t>Shaft Mounted Reducer</t>
        </is>
      </c>
      <c r="C144" s="147" t="inlineStr">
        <is>
          <t>SMSR / Equivalent</t>
        </is>
      </c>
      <c r="D144" s="147" t="inlineStr">
        <is>
          <t>Supplier selection</t>
        </is>
      </c>
      <c r="E144" s="147" t="n">
        <v>4</v>
      </c>
      <c r="F144" s="147" t="inlineStr">
        <is>
          <t>1:10</t>
        </is>
      </c>
      <c r="G144" s="147" t="inlineStr">
        <is>
          <t>Torque-arm mounted</t>
        </is>
      </c>
      <c r="H144" s="147" t="inlineStr">
        <is>
          <t>Hollow shaft, keyed</t>
        </is>
      </c>
      <c r="I144" s="147" t="inlineStr">
        <is>
          <t>IEC motor adaptor/input</t>
        </is>
      </c>
      <c r="J144" s="173" t="n">
        <v>1</v>
      </c>
      <c r="K144" s="174" t="n">
        <v>204.75</v>
      </c>
      <c r="L144" s="174" t="n">
        <v>204.75</v>
      </c>
      <c r="M144" s="141" t="inlineStr">
        <is>
          <t>TBC</t>
        </is>
      </c>
      <c r="N144" s="175" t="inlineStr">
        <is>
          <t>Include torque arm; quote input shaft, pulley and backstop separately || OFFERED: İ.Mak İRNX 01 i=5 + pulley 1:2 (overall ≈1:10) | DEVIATION: input shaft for belt drive, no IEC adaptor available; Overall ratio via pulley 1:2; Backstop not available on İRNX 01; Torque arm, pulley and belts: price on request</t>
        </is>
      </c>
    </row>
    <row r="145">
      <c r="A145" s="138" t="inlineStr">
        <is>
          <t>GB-139</t>
        </is>
      </c>
      <c r="B145" s="147" t="inlineStr">
        <is>
          <t>Shaft Mounted Reducer</t>
        </is>
      </c>
      <c r="C145" s="147" t="inlineStr">
        <is>
          <t>SMSR / Equivalent</t>
        </is>
      </c>
      <c r="D145" s="147" t="inlineStr">
        <is>
          <t>Supplier selection</t>
        </is>
      </c>
      <c r="E145" s="147" t="n">
        <v>4</v>
      </c>
      <c r="F145" s="147" t="inlineStr">
        <is>
          <t>1:20</t>
        </is>
      </c>
      <c r="G145" s="147" t="inlineStr">
        <is>
          <t>Torque-arm mounted</t>
        </is>
      </c>
      <c r="H145" s="147" t="inlineStr">
        <is>
          <t>Hollow shaft, keyed</t>
        </is>
      </c>
      <c r="I145" s="147" t="inlineStr">
        <is>
          <t>IEC motor adaptor/input</t>
        </is>
      </c>
      <c r="J145" s="173" t="n">
        <v>1</v>
      </c>
      <c r="K145" s="174" t="n">
        <v>380.25</v>
      </c>
      <c r="L145" s="174" t="n">
        <v>380.25</v>
      </c>
      <c r="M145" s="141" t="inlineStr">
        <is>
          <t>TBC</t>
        </is>
      </c>
      <c r="N145" s="175" t="inlineStr">
        <is>
          <t>Include torque arm; quote input shaft, pulley and backstop separately || OFFERED: İ.Mak İRNX 02 i=20 | DEVIATION: input shaft for belt drive, no IEC adaptor available; Torque arm, pulley and belts: price on request | Options included in Unit Price: Backstop €96.85</t>
        </is>
      </c>
    </row>
    <row r="146">
      <c r="A146" s="138" t="inlineStr">
        <is>
          <t>GB-140</t>
        </is>
      </c>
      <c r="B146" s="147" t="inlineStr">
        <is>
          <t>Shaft Mounted Reducer</t>
        </is>
      </c>
      <c r="C146" s="147" t="inlineStr">
        <is>
          <t>SMSR / Equivalent</t>
        </is>
      </c>
      <c r="D146" s="147" t="inlineStr">
        <is>
          <t>Supplier selection</t>
        </is>
      </c>
      <c r="E146" s="147" t="n">
        <v>5.5</v>
      </c>
      <c r="F146" s="147" t="inlineStr">
        <is>
          <t>1:13</t>
        </is>
      </c>
      <c r="G146" s="147" t="inlineStr">
        <is>
          <t>Torque-arm mounted</t>
        </is>
      </c>
      <c r="H146" s="147" t="inlineStr">
        <is>
          <t>Hollow shaft, keyed</t>
        </is>
      </c>
      <c r="I146" s="147" t="inlineStr">
        <is>
          <t>IEC motor adaptor/input</t>
        </is>
      </c>
      <c r="J146" s="173" t="n">
        <v>1</v>
      </c>
      <c r="K146" s="174" t="n">
        <v>380.25</v>
      </c>
      <c r="L146" s="174" t="n">
        <v>380.25</v>
      </c>
      <c r="M146" s="141" t="inlineStr">
        <is>
          <t>TBC</t>
        </is>
      </c>
      <c r="N146" s="175" t="inlineStr">
        <is>
          <t>Include torque arm; quote input shaft, pulley and backstop separately || OFFERED: İ.Mak İRNX 02 i=13 | DEVIATION: input shaft for belt drive, no IEC adaptor available; Torque arm, pulley and belts: price on request | Options included in Unit Price: Backstop €96.85</t>
        </is>
      </c>
    </row>
    <row r="147">
      <c r="A147" s="138" t="inlineStr">
        <is>
          <t>GB-141</t>
        </is>
      </c>
      <c r="B147" s="147" t="inlineStr">
        <is>
          <t>Shaft Mounted Reducer</t>
        </is>
      </c>
      <c r="C147" s="147" t="inlineStr">
        <is>
          <t>SMSR / Equivalent</t>
        </is>
      </c>
      <c r="D147" s="147" t="inlineStr">
        <is>
          <t>Supplier selection</t>
        </is>
      </c>
      <c r="E147" s="147" t="n">
        <v>5.5</v>
      </c>
      <c r="F147" s="147" t="inlineStr">
        <is>
          <t>1:20</t>
        </is>
      </c>
      <c r="G147" s="147" t="inlineStr">
        <is>
          <t>Torque-arm mounted</t>
        </is>
      </c>
      <c r="H147" s="147" t="inlineStr">
        <is>
          <t>Hollow shaft, keyed</t>
        </is>
      </c>
      <c r="I147" s="147" t="inlineStr">
        <is>
          <t>IEC motor adaptor/input</t>
        </is>
      </c>
      <c r="J147" s="173" t="n">
        <v>1</v>
      </c>
      <c r="K147" s="174" t="n">
        <v>481</v>
      </c>
      <c r="L147" s="174" t="n">
        <v>481</v>
      </c>
      <c r="M147" s="141" t="inlineStr">
        <is>
          <t>TBC</t>
        </is>
      </c>
      <c r="N147" s="175" t="inlineStr">
        <is>
          <t>Include torque arm; quote input shaft, pulley and backstop separately || OFFERED: İ.Mak İRNX 03 i=21 | DEVIATION: input shaft for belt drive, no IEC adaptor available; Torque arm, pulley and belts: price on request | Options included in Unit Price: Backstop €96.85</t>
        </is>
      </c>
    </row>
    <row r="148">
      <c r="A148" s="138" t="inlineStr">
        <is>
          <t>GB-142</t>
        </is>
      </c>
      <c r="B148" s="147" t="inlineStr">
        <is>
          <t>Shaft Mounted Reducer</t>
        </is>
      </c>
      <c r="C148" s="147" t="inlineStr">
        <is>
          <t>SMSR / Equivalent</t>
        </is>
      </c>
      <c r="D148" s="147" t="inlineStr">
        <is>
          <t>Supplier selection</t>
        </is>
      </c>
      <c r="E148" s="147" t="n">
        <v>7.5</v>
      </c>
      <c r="F148" s="147" t="inlineStr">
        <is>
          <t>1:20</t>
        </is>
      </c>
      <c r="G148" s="147" t="inlineStr">
        <is>
          <t>Torque-arm mounted</t>
        </is>
      </c>
      <c r="H148" s="147" t="inlineStr">
        <is>
          <t>Hollow shaft, keyed</t>
        </is>
      </c>
      <c r="I148" s="147" t="inlineStr">
        <is>
          <t>IEC motor adaptor/input</t>
        </is>
      </c>
      <c r="J148" s="173" t="n">
        <v>1</v>
      </c>
      <c r="K148" s="174" t="n">
        <v>631.8</v>
      </c>
      <c r="L148" s="174" t="n">
        <v>631.8</v>
      </c>
      <c r="M148" s="141" t="inlineStr">
        <is>
          <t>TBC</t>
        </is>
      </c>
      <c r="N148" s="175" t="inlineStr">
        <is>
          <t>Include torque arm; quote input shaft, pulley and backstop separately || OFFERED: İ.Mak İRNX 04 i=20 | DEVIATION: input shaft for belt drive, no IEC adaptor available; Torque arm, pulley and belts: price on request | Options included in Unit Price: Backstop €128.05</t>
        </is>
      </c>
    </row>
    <row r="149">
      <c r="A149" s="138" t="inlineStr">
        <is>
          <t>GB-143</t>
        </is>
      </c>
      <c r="B149" s="147" t="inlineStr">
        <is>
          <t>Shaft Mounted Reducer</t>
        </is>
      </c>
      <c r="C149" s="147" t="inlineStr">
        <is>
          <t>SMSR / Equivalent</t>
        </is>
      </c>
      <c r="D149" s="147" t="inlineStr">
        <is>
          <t>Supplier selection</t>
        </is>
      </c>
      <c r="E149" s="147" t="n">
        <v>11</v>
      </c>
      <c r="F149" s="147" t="inlineStr">
        <is>
          <t>1:20</t>
        </is>
      </c>
      <c r="G149" s="147" t="inlineStr">
        <is>
          <t>Torque-arm mounted</t>
        </is>
      </c>
      <c r="H149" s="147" t="inlineStr">
        <is>
          <t>Hollow shaft, keyed</t>
        </is>
      </c>
      <c r="I149" s="147" t="inlineStr">
        <is>
          <t>IEC motor adaptor/input</t>
        </is>
      </c>
      <c r="J149" s="173" t="n">
        <v>1</v>
      </c>
      <c r="K149" s="174" t="n">
        <v>806</v>
      </c>
      <c r="L149" s="174" t="n">
        <v>806</v>
      </c>
      <c r="M149" s="141" t="inlineStr">
        <is>
          <t>TBC</t>
        </is>
      </c>
      <c r="N149" s="175" t="inlineStr">
        <is>
          <t>Include torque arm; quote input shaft, pulley and backstop separately || OFFERED: İ.Mak İRNX 05 i=21 | DEVIATION: input shaft for belt drive, no IEC adaptor available; Torque arm, pulley and belts: price on request | Options included in Unit Price: Backstop €128.05</t>
        </is>
      </c>
    </row>
    <row r="150">
      <c r="A150" s="138" t="inlineStr">
        <is>
          <t>GB-144</t>
        </is>
      </c>
      <c r="B150" s="147" t="inlineStr">
        <is>
          <t>Shaft Mounted Reducer</t>
        </is>
      </c>
      <c r="C150" s="147" t="inlineStr">
        <is>
          <t>SMSR / Equivalent</t>
        </is>
      </c>
      <c r="D150" s="147" t="inlineStr">
        <is>
          <t>Supplier selection</t>
        </is>
      </c>
      <c r="E150" s="147" t="n">
        <v>15</v>
      </c>
      <c r="F150" s="147" t="inlineStr">
        <is>
          <t>1:25</t>
        </is>
      </c>
      <c r="G150" s="147" t="inlineStr">
        <is>
          <t>Torque-arm mounted</t>
        </is>
      </c>
      <c r="H150" s="147" t="inlineStr">
        <is>
          <t>Hollow shaft, keyed</t>
        </is>
      </c>
      <c r="I150" s="147" t="inlineStr">
        <is>
          <t>IEC motor adaptor/input</t>
        </is>
      </c>
      <c r="J150" s="173" t="n">
        <v>1</v>
      </c>
      <c r="K150" s="174" t="n">
        <v>1060.15</v>
      </c>
      <c r="L150" s="174" t="n">
        <v>1060.15</v>
      </c>
      <c r="M150" s="141" t="inlineStr">
        <is>
          <t>TBC</t>
        </is>
      </c>
      <c r="N150" s="175" t="inlineStr">
        <is>
          <t>Include torque arm; quote input shaft, pulley and backstop separately || OFFERED: İ.Mak İRNX 06 i=13 + pulley 1:2 (overall ≈1:26) | DEVIATION: input shaft for belt drive, no IEC adaptor available; Overall ratio via pulley 1:2; Torque arm, pulley and belts: price on request | Options included in Unit Price: Backstop €159.25</t>
        </is>
      </c>
    </row>
    <row r="151">
      <c r="A151" s="142" t="inlineStr">
        <is>
          <t>GB-145</t>
        </is>
      </c>
      <c r="B151" s="148" t="inlineStr">
        <is>
          <t>Shaft Mounted Reducer</t>
        </is>
      </c>
      <c r="C151" s="148" t="inlineStr">
        <is>
          <t>SMSR / Equivalent</t>
        </is>
      </c>
      <c r="D151" s="148" t="inlineStr">
        <is>
          <t>Supplier selection</t>
        </is>
      </c>
      <c r="E151" s="148" t="n">
        <v>30</v>
      </c>
      <c r="F151" s="148" t="inlineStr">
        <is>
          <t>1:25</t>
        </is>
      </c>
      <c r="G151" s="148" t="inlineStr">
        <is>
          <t>Torque-arm mounted</t>
        </is>
      </c>
      <c r="H151" s="148" t="inlineStr">
        <is>
          <t>Hollow shaft, keyed</t>
        </is>
      </c>
      <c r="I151" s="148" t="inlineStr">
        <is>
          <t>IEC motor adaptor/input</t>
        </is>
      </c>
      <c r="J151" s="176" t="n">
        <v>1</v>
      </c>
      <c r="K151" s="177" t="n">
        <v>2567.5</v>
      </c>
      <c r="L151" s="177" t="n">
        <v>2567.5</v>
      </c>
      <c r="M151" s="145" t="inlineStr">
        <is>
          <t>TBC</t>
        </is>
      </c>
      <c r="N151" s="178" t="inlineStr">
        <is>
          <t>Include torque arm; quote input shaft, pulley and backstop separately || OFFERED: İ.Mak İRNX 08 i=13 + pulley 1:2 (overall ≈1:26) | DEVIATION: input shaft for belt drive, no IEC adaptor available; Overall ratio via pulley 1:2; Torque arm, pulley and belts: price on request | Options included in Unit Price: Backstop €228.15</t>
        </is>
      </c>
    </row>
    <row r="152">
      <c r="K152" s="179" t="inlineStr">
        <is>
          <t>TOTAL (EUR)</t>
        </is>
      </c>
      <c r="L152" s="180" t="n">
        <v>216274.5</v>
      </c>
    </row>
  </sheetData>
  <mergeCells count="2">
    <mergeCell ref="A1:N2"/>
    <mergeCell ref="A3:N3"/>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8" customWidth="1" min="1" max="1"/>
    <col width="65" customWidth="1" min="2" max="2"/>
    <col width="90" customWidth="1" min="3" max="3"/>
  </cols>
  <sheetData>
    <row r="1" ht="34" customHeight="1">
      <c r="A1" s="4" t="inlineStr">
        <is>
          <t>COMMERCIAL &amp; TECHNICAL QUOTATION REQUIREMENTS</t>
        </is>
      </c>
    </row>
    <row r="2" ht="34" customHeight="1"/>
    <row r="5">
      <c r="A5" s="19" t="inlineStr">
        <is>
          <t>No.</t>
        </is>
      </c>
      <c r="B5" s="117" t="inlineStr">
        <is>
          <t>Requirement</t>
        </is>
      </c>
      <c r="C5" s="20" t="inlineStr">
        <is>
          <t>Supplier Response</t>
        </is>
      </c>
    </row>
    <row r="6">
      <c r="A6" s="122" t="n">
        <v>1</v>
      </c>
      <c r="B6" s="150" t="inlineStr">
        <is>
          <t>Manufacturer legal name, factory address and country of origin</t>
        </is>
      </c>
      <c r="C6" s="172" t="inlineStr">
        <is>
          <t>İ.Mak Redüktör – Turkey (country of origin: Turkey). Legal name and factory address: TBC by İ.Mak</t>
        </is>
      </c>
    </row>
    <row r="7">
      <c r="A7" s="126" t="n">
        <v>2</v>
      </c>
      <c r="B7" s="152" t="inlineStr">
        <is>
          <t>Quotation validity (minimum requested: 60 days)</t>
        </is>
      </c>
      <c r="C7" s="181" t="inlineStr">
        <is>
          <t>TBC</t>
        </is>
      </c>
    </row>
    <row r="8">
      <c r="A8" s="126" t="n">
        <v>3</v>
      </c>
      <c r="B8" s="152" t="inlineStr">
        <is>
          <t>Currency: USD and/or EUR</t>
        </is>
      </c>
      <c r="C8" s="175" t="inlineStr">
        <is>
          <t>EUR</t>
        </is>
      </c>
    </row>
    <row r="9">
      <c r="A9" s="126" t="n">
        <v>4</v>
      </c>
      <c r="B9" s="152" t="inlineStr">
        <is>
          <t>EXW prices and exact EXW location</t>
        </is>
      </c>
      <c r="C9" s="175" t="inlineStr">
        <is>
          <t>EXW İ.Mak factory, Turkey. EXW total €216,274.50 (all 145 lines, options included), itemised in RFQ Items</t>
        </is>
      </c>
    </row>
    <row r="10">
      <c r="A10" s="126" t="n">
        <v>5</v>
      </c>
      <c r="B10" s="152" t="inlineStr">
        <is>
          <t>FOB prices and named port</t>
        </is>
      </c>
      <c r="C10" s="181" t="inlineStr">
        <is>
          <t>TBC – named Turkish port and freight to be confirmed</t>
        </is>
      </c>
    </row>
    <row r="11">
      <c r="A11" s="126" t="n">
        <v>6</v>
      </c>
      <c r="B11" s="152" t="inlineStr">
        <is>
          <t>Production lead time after deposit</t>
        </is>
      </c>
      <c r="C11" s="181" t="inlineStr">
        <is>
          <t>TBC</t>
        </is>
      </c>
    </row>
    <row r="12">
      <c r="A12" s="126" t="n">
        <v>7</v>
      </c>
      <c r="B12" s="152" t="inlineStr">
        <is>
          <t>Payment terms and required deposit</t>
        </is>
      </c>
      <c r="C12" s="181" t="inlineStr">
        <is>
          <t>TBC</t>
        </is>
      </c>
    </row>
    <row r="13">
      <c r="A13" s="126" t="n">
        <v>8</v>
      </c>
      <c r="B13" s="152" t="inlineStr">
        <is>
          <t>Warranty period and warranty coverage</t>
        </is>
      </c>
      <c r="C13" s="181" t="inlineStr">
        <is>
          <t>TBC</t>
        </is>
      </c>
    </row>
    <row r="14">
      <c r="A14" s="126" t="n">
        <v>9</v>
      </c>
      <c r="B14" s="152" t="inlineStr">
        <is>
          <t>Packing: export-worthy; provide package count, dimensions, net/gross weight</t>
        </is>
      </c>
      <c r="C14" s="181" t="inlineStr">
        <is>
          <t>TBC</t>
        </is>
      </c>
    </row>
    <row r="15">
      <c r="A15" s="126" t="n">
        <v>10</v>
      </c>
      <c r="B15" s="152" t="inlineStr">
        <is>
          <t>Provide product catalogue and dimensional drawings for every series</t>
        </is>
      </c>
      <c r="C15" s="175" t="inlineStr">
        <is>
          <t>Catalogues: S-IRS-IRSD 2025 (worm), IR 2024 (helical inline), IRK 2024 (helical bevel), YP 2025 (parallel shaft), IRNX 2024 (shaft mounted) – imakreduktor.com</t>
        </is>
      </c>
    </row>
    <row r="16">
      <c r="A16" s="126" t="n">
        <v>11</v>
      </c>
      <c r="B16" s="152" t="inlineStr">
        <is>
          <t>Confirm rated torque, service factor, efficiency and permissible radial/axial loads</t>
        </is>
      </c>
      <c r="C16" s="175" t="inlineStr">
        <is>
          <t>Catalogue ratio, output torque and service factor listed per line in RFQ Items column N</t>
        </is>
      </c>
    </row>
    <row r="17">
      <c r="A17" s="126" t="n">
        <v>12</v>
      </c>
      <c r="B17" s="152" t="inlineStr">
        <is>
          <t>Confirm IEC motor adaptor sizes and compatibility</t>
        </is>
      </c>
      <c r="C17" s="175" t="inlineStr">
        <is>
          <t>IEC input flange size listed per line (column N). İRNX shaft-mounted units have no IEC adaptor – belt drive only</t>
        </is>
      </c>
    </row>
    <row r="18">
      <c r="A18" s="126" t="n">
        <v>13</v>
      </c>
      <c r="B18" s="152" t="inlineStr">
        <is>
          <t>Confirm lubricant brand/type and whether units are factory filled</t>
        </is>
      </c>
      <c r="C18" s="175" t="inlineStr">
        <is>
          <t>Mineral oil standard; synthetic VG220 available (option 211). Factory fill to be confirmed</t>
        </is>
      </c>
    </row>
    <row r="19">
      <c r="A19" s="126" t="n">
        <v>14</v>
      </c>
      <c r="B19" s="152" t="inlineStr">
        <is>
          <t>Provide certificates: ISO 9001, CE and applicable conformity documents</t>
        </is>
      </c>
      <c r="C19" s="181" t="inlineStr">
        <is>
          <t>TBC – certificate copies to be requested from İ.Mak</t>
        </is>
      </c>
    </row>
    <row r="20">
      <c r="A20" s="126" t="n">
        <v>15</v>
      </c>
      <c r="B20" s="152" t="inlineStr">
        <is>
          <t>Provide spare-parts list and prices: seals, bearings, gears, shafts and accessories</t>
        </is>
      </c>
      <c r="C20" s="181" t="inlineStr">
        <is>
          <t>TBC</t>
        </is>
      </c>
    </row>
    <row r="21">
      <c r="A21" s="126" t="n">
        <v>16</v>
      </c>
      <c r="B21" s="152" t="inlineStr">
        <is>
          <t>State MOQ for repeat orders and mixed-container policy</t>
        </is>
      </c>
      <c r="C21" s="181" t="inlineStr">
        <is>
          <t>TBC</t>
        </is>
      </c>
    </row>
    <row r="22">
      <c r="A22" s="126" t="n">
        <v>17</v>
      </c>
      <c r="B22" s="152" t="inlineStr">
        <is>
          <t>State private-label/OEM branding availability and cost</t>
        </is>
      </c>
      <c r="C22" s="181" t="inlineStr">
        <is>
          <t>TBC</t>
        </is>
      </c>
    </row>
    <row r="23">
      <c r="A23" s="126" t="n">
        <v>18</v>
      </c>
      <c r="B23" s="152" t="inlineStr">
        <is>
          <t>State distributor/agency availability for Jordan and applicable conditions</t>
        </is>
      </c>
      <c r="C23" s="181" t="inlineStr">
        <is>
          <t>TBC</t>
        </is>
      </c>
    </row>
    <row r="24">
      <c r="A24" s="126" t="n">
        <v>19</v>
      </c>
      <c r="B24" s="152" t="inlineStr">
        <is>
          <t>Provide commercial references/export markets in the Middle East</t>
        </is>
      </c>
      <c r="C24" s="181" t="inlineStr">
        <is>
          <t>TBC</t>
        </is>
      </c>
    </row>
    <row r="25">
      <c r="A25" s="130" t="n">
        <v>20</v>
      </c>
      <c r="B25" s="154" t="inlineStr">
        <is>
          <t>Any deviation from requested specification must be listed item-by-item</t>
        </is>
      </c>
      <c r="C25" s="178" t="inlineStr">
        <is>
          <t>Listed item-by-item in RFQ Items column N (after "||"). Main: GB-046…049 offered as cast-iron İRSA 127 (İ.Mak S series is aluminium); İRNX shaft-mounted units have input shaft only (no IEC adaptor); YP torque arm price on request</t>
        </is>
      </c>
    </row>
  </sheetData>
  <mergeCells count="1">
    <mergeCell ref="A1:F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45"/>
  <sheetViews>
    <sheetView showGridLines="0" workbookViewId="0">
      <selection activeCell="A1" sqref="A1"/>
    </sheetView>
  </sheetViews>
  <sheetFormatPr baseColWidth="8" defaultRowHeight="15"/>
  <cols>
    <col width="28" customWidth="1" min="1" max="1"/>
    <col width="16" customWidth="1" min="2" max="2"/>
    <col width="22" customWidth="1" min="3" max="3"/>
    <col width="30" customWidth="1" min="4" max="4"/>
    <col width="28" customWidth="1" min="5" max="5"/>
    <col width="14" customWidth="1" min="6" max="6"/>
    <col width="14" customWidth="1" min="7" max="7"/>
    <col width="22" customWidth="1" min="8" max="8"/>
    <col width="16" customWidth="1" min="9" max="9"/>
    <col width="16" customWidth="1" min="10" max="10"/>
    <col width="16" customWidth="1" min="11" max="11"/>
    <col width="16" customWidth="1" min="12" max="12"/>
    <col width="40" customWidth="1" min="13" max="13"/>
  </cols>
  <sheetData>
    <row r="1" ht="34" customHeight="1">
      <c r="A1" s="4" t="inlineStr">
        <is>
          <t>SUPPLIER QUOTATION TRACKER</t>
        </is>
      </c>
    </row>
    <row r="2" ht="34" customHeight="1"/>
    <row r="5">
      <c r="A5" s="19" t="inlineStr">
        <is>
          <t>Supplier</t>
        </is>
      </c>
      <c r="B5" s="117" t="inlineStr">
        <is>
          <t>Country</t>
        </is>
      </c>
      <c r="C5" s="117" t="inlineStr">
        <is>
          <t>Contact Person</t>
        </is>
      </c>
      <c r="D5" s="117" t="inlineStr">
        <is>
          <t>Email</t>
        </is>
      </c>
      <c r="E5" s="117" t="inlineStr">
        <is>
          <t>Website</t>
        </is>
      </c>
      <c r="F5" s="117" t="inlineStr">
        <is>
          <t>RFQ Sent</t>
        </is>
      </c>
      <c r="G5" s="117" t="inlineStr">
        <is>
          <t>Reply Date</t>
        </is>
      </c>
      <c r="H5" s="117" t="inlineStr">
        <is>
          <t>Status</t>
        </is>
      </c>
      <c r="I5" s="117" t="inlineStr">
        <is>
          <t>EXW Total</t>
        </is>
      </c>
      <c r="J5" s="117" t="inlineStr">
        <is>
          <t>FOB Total</t>
        </is>
      </c>
      <c r="K5" s="117" t="inlineStr">
        <is>
          <t>Lead Time</t>
        </is>
      </c>
      <c r="L5" s="117" t="inlineStr">
        <is>
          <t>Warranty</t>
        </is>
      </c>
      <c r="M5" s="20" t="inlineStr">
        <is>
          <t>Notes</t>
        </is>
      </c>
    </row>
    <row r="6">
      <c r="A6" s="122" t="inlineStr">
        <is>
          <t>Zhejiang EVERGEAR Drive Co., Ltd.</t>
        </is>
      </c>
      <c r="B6" s="122" t="inlineStr">
        <is>
          <t>China</t>
        </is>
      </c>
      <c r="C6" s="122" t="str"/>
      <c r="D6" s="122" t="inlineStr">
        <is>
          <t>info@evergeardrive.com</t>
        </is>
      </c>
      <c r="E6" s="122" t="inlineStr">
        <is>
          <t>https://www.evergeardrive.com/</t>
        </is>
      </c>
      <c r="F6" s="182" t="str"/>
      <c r="G6" s="182" t="str"/>
      <c r="H6" s="122" t="inlineStr">
        <is>
          <t>Not Contacted</t>
        </is>
      </c>
      <c r="I6" s="183" t="str"/>
      <c r="J6" s="183" t="str"/>
      <c r="K6" s="122" t="str"/>
      <c r="L6" s="122" t="str"/>
      <c r="M6" s="122" t="inlineStr">
        <is>
          <t>Full range: RV/NMRV, inline, bevel, parallel-shaft and shaft-mounted</t>
        </is>
      </c>
    </row>
    <row r="7">
      <c r="A7" s="126" t="inlineStr">
        <is>
          <t>Zhejiang Red Sun Machinery Co., Ltd.</t>
        </is>
      </c>
      <c r="B7" s="126" t="inlineStr">
        <is>
          <t>China</t>
        </is>
      </c>
      <c r="C7" s="126" t="str"/>
      <c r="D7" s="126" t="inlineStr">
        <is>
          <t>info@cn-redsun.com; export@cn-redsun.com</t>
        </is>
      </c>
      <c r="E7" s="126" t="inlineStr">
        <is>
          <t>https://www.redsungearbox.com/</t>
        </is>
      </c>
      <c r="F7" s="184" t="str"/>
      <c r="G7" s="184" t="str"/>
      <c r="H7" s="126" t="inlineStr">
        <is>
          <t>Not Contacted</t>
        </is>
      </c>
      <c r="I7" s="185" t="str"/>
      <c r="J7" s="185" t="str"/>
      <c r="K7" s="126" t="str"/>
      <c r="L7" s="126" t="str"/>
      <c r="M7" s="126" t="inlineStr">
        <is>
          <t>NMRV plus helical and shaft-mounted ranges</t>
        </is>
      </c>
    </row>
    <row r="8">
      <c r="A8" s="126" t="inlineStr">
        <is>
          <t>CYLgear</t>
        </is>
      </c>
      <c r="B8" s="126" t="inlineStr">
        <is>
          <t>China</t>
        </is>
      </c>
      <c r="C8" s="126" t="str"/>
      <c r="D8" s="126" t="inlineStr">
        <is>
          <t>sales@cylgear.com</t>
        </is>
      </c>
      <c r="E8" s="126" t="inlineStr">
        <is>
          <t>https://cylgear.com/</t>
        </is>
      </c>
      <c r="F8" s="184" t="str"/>
      <c r="G8" s="184" t="str"/>
      <c r="H8" s="126" t="inlineStr">
        <is>
          <t>Not Contacted</t>
        </is>
      </c>
      <c r="I8" s="185" t="str"/>
      <c r="J8" s="185" t="str"/>
      <c r="K8" s="126" t="str"/>
      <c r="L8" s="126" t="str"/>
      <c r="M8" s="126" t="inlineStr">
        <is>
          <t>NMRV and R/K/F/S modular ranges</t>
        </is>
      </c>
    </row>
    <row r="9">
      <c r="A9" s="126" t="inlineStr">
        <is>
          <t>Bonway Group</t>
        </is>
      </c>
      <c r="B9" s="126" t="inlineStr">
        <is>
          <t>China</t>
        </is>
      </c>
      <c r="C9" s="126" t="str"/>
      <c r="D9" s="126" t="str"/>
      <c r="E9" s="126" t="inlineStr">
        <is>
          <t>https://www.bonwaygroup.com/</t>
        </is>
      </c>
      <c r="F9" s="184" t="str"/>
      <c r="G9" s="184" t="str"/>
      <c r="H9" s="126" t="inlineStr">
        <is>
          <t>Not Contacted</t>
        </is>
      </c>
      <c r="I9" s="185" t="str"/>
      <c r="J9" s="185" t="str"/>
      <c r="K9" s="126" t="str"/>
      <c r="L9" s="126" t="str"/>
      <c r="M9" s="126" t="inlineStr">
        <is>
          <t>NMRV 025–150 and broad modular gearbox range; use official inquiry form</t>
        </is>
      </c>
    </row>
    <row r="10">
      <c r="A10" s="126" t="inlineStr">
        <is>
          <t>Yılmaz Redüktör</t>
        </is>
      </c>
      <c r="B10" s="126" t="inlineStr">
        <is>
          <t>Turkey</t>
        </is>
      </c>
      <c r="C10" s="126" t="str"/>
      <c r="D10" s="126" t="inlineStr">
        <is>
          <t>yilmaz@yr.com.tr</t>
        </is>
      </c>
      <c r="E10" s="126" t="inlineStr">
        <is>
          <t>https://yr.com.tr/</t>
        </is>
      </c>
      <c r="F10" s="184" t="str"/>
      <c r="G10" s="184" t="str"/>
      <c r="H10" s="126" t="inlineStr">
        <is>
          <t>Not Contacted</t>
        </is>
      </c>
      <c r="I10" s="185" t="str"/>
      <c r="J10" s="185" t="str"/>
      <c r="K10" s="126" t="str"/>
      <c r="L10" s="126" t="str"/>
      <c r="M10" s="126" t="inlineStr">
        <is>
          <t>Major Turkish manufacturer; broad industrial range</t>
        </is>
      </c>
    </row>
    <row r="11">
      <c r="A11" s="126" t="inlineStr">
        <is>
          <t>PGR Drive Technologies</t>
        </is>
      </c>
      <c r="B11" s="126" t="inlineStr">
        <is>
          <t>Turkey</t>
        </is>
      </c>
      <c r="C11" s="126" t="str"/>
      <c r="D11" s="126" t="inlineStr">
        <is>
          <t>info@pgrgear.com</t>
        </is>
      </c>
      <c r="E11" s="126" t="inlineStr">
        <is>
          <t>https://pgrgear.com/en/</t>
        </is>
      </c>
      <c r="F11" s="184" t="str"/>
      <c r="G11" s="184" t="str"/>
      <c r="H11" s="126" t="inlineStr">
        <is>
          <t>Not Contacted</t>
        </is>
      </c>
      <c r="I11" s="185" t="str"/>
      <c r="J11" s="185" t="str"/>
      <c r="K11" s="126" t="str"/>
      <c r="L11" s="126" t="str"/>
      <c r="M11" s="126" t="inlineStr">
        <is>
          <t>Helical, bevel, worm, parallel-shaft and industrial units</t>
        </is>
      </c>
    </row>
    <row r="12">
      <c r="A12" s="126" t="inlineStr">
        <is>
          <t>I-MAK Redüktör</t>
        </is>
      </c>
      <c r="B12" s="126" t="inlineStr">
        <is>
          <t>Turkey</t>
        </is>
      </c>
      <c r="C12" s="126" t="str"/>
      <c r="D12" s="126" t="inlineStr">
        <is>
          <t>imak@imakreduktor.com</t>
        </is>
      </c>
      <c r="E12" s="126" t="inlineStr">
        <is>
          <t>https://www.imakreduktor.com/</t>
        </is>
      </c>
      <c r="F12" s="184" t="str"/>
      <c r="G12" s="184" t="str"/>
      <c r="H12" s="126" t="inlineStr">
        <is>
          <t>Quoted</t>
        </is>
      </c>
      <c r="I12" s="186" t="n">
        <v>216274.5</v>
      </c>
      <c r="J12" s="185" t="inlineStr">
        <is>
          <t>TBC</t>
        </is>
      </c>
      <c r="K12" s="126" t="inlineStr">
        <is>
          <t>TBC</t>
        </is>
      </c>
      <c r="L12" s="126" t="str"/>
      <c r="M12" s="126" t="inlineStr">
        <is>
          <t>EUR, options included; see RFQ Items. Large Turkish gearbox manufacturer; strong MENA presence</t>
        </is>
      </c>
    </row>
    <row r="13">
      <c r="A13" s="126" t="inlineStr">
        <is>
          <t>DGR / DGM Redüktör</t>
        </is>
      </c>
      <c r="B13" s="126" t="inlineStr">
        <is>
          <t>Turkey</t>
        </is>
      </c>
      <c r="C13" s="126" t="str"/>
      <c r="D13" s="126" t="str"/>
      <c r="E13" s="126" t="inlineStr">
        <is>
          <t>https://www.dgmr.com.tr/en/</t>
        </is>
      </c>
      <c r="F13" s="184" t="str"/>
      <c r="G13" s="184" t="str"/>
      <c r="H13" s="126" t="inlineStr">
        <is>
          <t>Not Contacted</t>
        </is>
      </c>
      <c r="I13" s="185" t="str"/>
      <c r="J13" s="185" t="str"/>
      <c r="K13" s="126" t="str"/>
      <c r="L13" s="126" t="str"/>
      <c r="M13" s="126" t="inlineStr">
        <is>
          <t>Helical-bevel and industrial reducers; use official contact form</t>
        </is>
      </c>
    </row>
    <row r="14">
      <c r="A14" s="126" t="inlineStr">
        <is>
          <t>Elecon Engineering Co. Ltd.</t>
        </is>
      </c>
      <c r="B14" s="126" t="inlineStr">
        <is>
          <t>India</t>
        </is>
      </c>
      <c r="C14" s="126" t="str"/>
      <c r="D14" s="126" t="inlineStr">
        <is>
          <t>infogear@elecon.com</t>
        </is>
      </c>
      <c r="E14" s="126" t="inlineStr">
        <is>
          <t>https://www.elecon.com/</t>
        </is>
      </c>
      <c r="F14" s="184" t="str"/>
      <c r="G14" s="184" t="str"/>
      <c r="H14" s="126" t="inlineStr">
        <is>
          <t>Not Contacted</t>
        </is>
      </c>
      <c r="I14" s="185" t="str"/>
      <c r="J14" s="185" t="str"/>
      <c r="K14" s="126" t="str"/>
      <c r="L14" s="126" t="str"/>
      <c r="M14" s="126" t="inlineStr">
        <is>
          <t>Large industrial gearbox manufacturer</t>
        </is>
      </c>
    </row>
    <row r="15">
      <c r="A15" s="126" t="inlineStr">
        <is>
          <t>Premium Transmission</t>
        </is>
      </c>
      <c r="B15" s="126" t="inlineStr">
        <is>
          <t>India</t>
        </is>
      </c>
      <c r="C15" s="126" t="str"/>
      <c r="D15" s="126" t="inlineStr">
        <is>
          <t>sales.enquiry@premium-transmission.com; info@premium-transmission.com</t>
        </is>
      </c>
      <c r="E15" s="126" t="inlineStr">
        <is>
          <t>https://www.premium-transmission.com/</t>
        </is>
      </c>
      <c r="F15" s="184" t="str"/>
      <c r="G15" s="184" t="str"/>
      <c r="H15" s="126" t="inlineStr">
        <is>
          <t>Not Contacted</t>
        </is>
      </c>
      <c r="I15" s="185" t="str"/>
      <c r="J15" s="185" t="str"/>
      <c r="K15" s="126" t="str"/>
      <c r="L15" s="126" t="str"/>
      <c r="M15" s="126" t="inlineStr">
        <is>
          <t>Worm, helical and industrial transmission range</t>
        </is>
      </c>
    </row>
    <row r="16">
      <c r="A16" s="126" t="inlineStr">
        <is>
          <t>Shanthi Gears Limited</t>
        </is>
      </c>
      <c r="B16" s="126" t="inlineStr">
        <is>
          <t>India</t>
        </is>
      </c>
      <c r="C16" s="126" t="str"/>
      <c r="D16" s="126" t="inlineStr">
        <is>
          <t>info@shanthigears.murugappa.com</t>
        </is>
      </c>
      <c r="E16" s="126" t="inlineStr">
        <is>
          <t>https://www.shanthigears.com/</t>
        </is>
      </c>
      <c r="F16" s="184" t="str"/>
      <c r="G16" s="184" t="str"/>
      <c r="H16" s="126" t="inlineStr">
        <is>
          <t>Not Contacted</t>
        </is>
      </c>
      <c r="I16" s="185" t="str"/>
      <c r="J16" s="185" t="str"/>
      <c r="K16" s="126" t="str"/>
      <c r="L16" s="126" t="str"/>
      <c r="M16" s="126" t="inlineStr">
        <is>
          <t>Established gears, gearboxes and geared motors manufacturer</t>
        </is>
      </c>
    </row>
    <row r="17">
      <c r="A17" s="126" t="inlineStr">
        <is>
          <t>Rotomotive Powerdrives India Ltd.</t>
        </is>
      </c>
      <c r="B17" s="126" t="inlineStr">
        <is>
          <t>India</t>
        </is>
      </c>
      <c r="C17" s="126" t="str"/>
      <c r="D17" s="126" t="inlineStr">
        <is>
          <t>info@rotomotive.com</t>
        </is>
      </c>
      <c r="E17" s="126" t="inlineStr">
        <is>
          <t>https://rotomotive.com/</t>
        </is>
      </c>
      <c r="F17" s="184" t="str"/>
      <c r="G17" s="184" t="str"/>
      <c r="H17" s="126" t="inlineStr">
        <is>
          <t>Not Contacted</t>
        </is>
      </c>
      <c r="I17" s="185" t="str"/>
      <c r="J17" s="185" t="str"/>
      <c r="K17" s="126" t="str"/>
      <c r="L17" s="126" t="str"/>
      <c r="M17" s="126" t="inlineStr">
        <is>
          <t>Motors and gearboxes; suitable for assembled gearmotor alternative</t>
        </is>
      </c>
    </row>
    <row r="18">
      <c r="A18" s="126" t="inlineStr">
        <is>
          <t>Varitron Engineering (Taiwan) Co., Ltd.</t>
        </is>
      </c>
      <c r="B18" s="126" t="inlineStr">
        <is>
          <t>Taiwan</t>
        </is>
      </c>
      <c r="C18" s="126" t="str"/>
      <c r="D18" s="126" t="inlineStr">
        <is>
          <t>sales@c-var.com</t>
        </is>
      </c>
      <c r="E18" s="126" t="inlineStr">
        <is>
          <t>https://www.c-var.com/</t>
        </is>
      </c>
      <c r="F18" s="184" t="str"/>
      <c r="G18" s="184" t="str"/>
      <c r="H18" s="126" t="inlineStr">
        <is>
          <t>Not Contacted</t>
        </is>
      </c>
      <c r="I18" s="185" t="str"/>
      <c r="J18" s="185" t="str"/>
      <c r="K18" s="126" t="str"/>
      <c r="L18" s="126" t="str"/>
      <c r="M18" s="126" t="inlineStr">
        <is>
          <t>Worm, cycloidal and geared-motor ranges</t>
        </is>
      </c>
    </row>
    <row r="19">
      <c r="A19" s="126" t="inlineStr">
        <is>
          <t>Li Xiang Mach. &amp; Elec. Co., Ltd. (PEI GONG)</t>
        </is>
      </c>
      <c r="B19" s="126" t="inlineStr">
        <is>
          <t>Taiwan</t>
        </is>
      </c>
      <c r="C19" s="126" t="str"/>
      <c r="D19" s="126" t="str"/>
      <c r="E19" s="126" t="inlineStr">
        <is>
          <t>https://www.taiwan-drive.com/en-US/</t>
        </is>
      </c>
      <c r="F19" s="184" t="str"/>
      <c r="G19" s="184" t="str"/>
      <c r="H19" s="126" t="inlineStr">
        <is>
          <t>Not Contacted</t>
        </is>
      </c>
      <c r="I19" s="185" t="str"/>
      <c r="J19" s="185" t="str"/>
      <c r="K19" s="126" t="str"/>
      <c r="L19" s="126" t="str"/>
      <c r="M19" s="126" t="inlineStr">
        <is>
          <t>Worm, R/K/F/S helical ranges; use official inquiry form</t>
        </is>
      </c>
    </row>
    <row r="20">
      <c r="A20" s="126" t="inlineStr">
        <is>
          <t>Sesame Motor Corp.</t>
        </is>
      </c>
      <c r="B20" s="126" t="inlineStr">
        <is>
          <t>Taiwan</t>
        </is>
      </c>
      <c r="C20" s="126" t="str"/>
      <c r="D20" s="126" t="inlineStr">
        <is>
          <t>info@sesamemotor.com.tw</t>
        </is>
      </c>
      <c r="E20" s="126" t="inlineStr">
        <is>
          <t>https://www.sesamemotor.com/</t>
        </is>
      </c>
      <c r="F20" s="184" t="str"/>
      <c r="G20" s="184" t="str"/>
      <c r="H20" s="126" t="inlineStr">
        <is>
          <t>Not Contacted</t>
        </is>
      </c>
      <c r="I20" s="185" t="str"/>
      <c r="J20" s="185" t="str"/>
      <c r="K20" s="126" t="str"/>
      <c r="L20" s="126" t="str"/>
      <c r="M20" s="126" t="inlineStr">
        <is>
          <t>Gear motors and specialty reducers</t>
        </is>
      </c>
    </row>
    <row r="21">
      <c r="A21" s="126" t="inlineStr">
        <is>
          <t>LI MING Machinery Co., Ltd.</t>
        </is>
      </c>
      <c r="B21" s="126" t="inlineStr">
        <is>
          <t>Taiwan</t>
        </is>
      </c>
      <c r="C21" s="126" t="str"/>
      <c r="D21" s="126" t="str"/>
      <c r="E21" s="126" t="inlineStr">
        <is>
          <t>https://www.li-ming.com/</t>
        </is>
      </c>
      <c r="F21" s="184" t="str"/>
      <c r="G21" s="184" t="str"/>
      <c r="H21" s="126" t="inlineStr">
        <is>
          <t>Not Contacted</t>
        </is>
      </c>
      <c r="I21" s="185" t="str"/>
      <c r="J21" s="185" t="str"/>
      <c r="K21" s="126" t="str"/>
      <c r="L21" s="126" t="str"/>
      <c r="M21" s="126" t="inlineStr">
        <is>
          <t>Helical and worm reducers; use official inquiry form</t>
        </is>
      </c>
    </row>
    <row r="22">
      <c r="A22" s="126" t="str"/>
      <c r="B22" s="126" t="str"/>
      <c r="C22" s="126" t="str"/>
      <c r="D22" s="126" t="str"/>
      <c r="E22" s="126" t="str"/>
      <c r="F22" s="184" t="str"/>
      <c r="G22" s="184" t="str"/>
      <c r="H22" s="126" t="str"/>
      <c r="I22" s="185" t="str"/>
      <c r="J22" s="185" t="str"/>
      <c r="K22" s="126" t="str"/>
      <c r="L22" s="126" t="str"/>
      <c r="M22" s="126" t="str"/>
    </row>
    <row r="23">
      <c r="A23" s="126" t="str"/>
      <c r="B23" s="126" t="str"/>
      <c r="C23" s="126" t="str"/>
      <c r="D23" s="126" t="str"/>
      <c r="E23" s="126" t="str"/>
      <c r="F23" s="184" t="str"/>
      <c r="G23" s="184" t="str"/>
      <c r="H23" s="126" t="str"/>
      <c r="I23" s="185" t="str"/>
      <c r="J23" s="185" t="str"/>
      <c r="K23" s="126" t="str"/>
      <c r="L23" s="126" t="str"/>
      <c r="M23" s="126" t="str"/>
    </row>
    <row r="24">
      <c r="A24" s="126" t="str"/>
      <c r="B24" s="126" t="str"/>
      <c r="C24" s="126" t="str"/>
      <c r="D24" s="126" t="str"/>
      <c r="E24" s="126" t="str"/>
      <c r="F24" s="184" t="str"/>
      <c r="G24" s="184" t="str"/>
      <c r="H24" s="126" t="str"/>
      <c r="I24" s="185" t="str"/>
      <c r="J24" s="185" t="str"/>
      <c r="K24" s="126" t="str"/>
      <c r="L24" s="126" t="str"/>
      <c r="M24" s="126" t="str"/>
    </row>
    <row r="25">
      <c r="A25" s="126" t="str"/>
      <c r="B25" s="126" t="str"/>
      <c r="C25" s="126" t="str"/>
      <c r="D25" s="126" t="str"/>
      <c r="E25" s="126" t="str"/>
      <c r="F25" s="184" t="str"/>
      <c r="G25" s="184" t="str"/>
      <c r="H25" s="126" t="str"/>
      <c r="I25" s="185" t="str"/>
      <c r="J25" s="185" t="str"/>
      <c r="K25" s="126" t="str"/>
      <c r="L25" s="126" t="str"/>
      <c r="M25" s="126" t="str"/>
    </row>
    <row r="26">
      <c r="A26" s="126" t="str"/>
      <c r="B26" s="126" t="str"/>
      <c r="C26" s="126" t="str"/>
      <c r="D26" s="126" t="str"/>
      <c r="E26" s="126" t="str"/>
      <c r="F26" s="184" t="str"/>
      <c r="G26" s="184" t="str"/>
      <c r="H26" s="126" t="str"/>
      <c r="I26" s="185" t="str"/>
      <c r="J26" s="185" t="str"/>
      <c r="K26" s="126" t="str"/>
      <c r="L26" s="126" t="str"/>
      <c r="M26" s="126" t="str"/>
    </row>
    <row r="27">
      <c r="A27" s="126" t="str"/>
      <c r="B27" s="126" t="str"/>
      <c r="C27" s="126" t="str"/>
      <c r="D27" s="126" t="str"/>
      <c r="E27" s="126" t="str"/>
      <c r="F27" s="184" t="str"/>
      <c r="G27" s="184" t="str"/>
      <c r="H27" s="126" t="str"/>
      <c r="I27" s="185" t="str"/>
      <c r="J27" s="185" t="str"/>
      <c r="K27" s="126" t="str"/>
      <c r="L27" s="126" t="str"/>
      <c r="M27" s="126" t="str"/>
    </row>
    <row r="28">
      <c r="A28" s="126" t="str"/>
      <c r="B28" s="126" t="str"/>
      <c r="C28" s="126" t="str"/>
      <c r="D28" s="126" t="str"/>
      <c r="E28" s="126" t="str"/>
      <c r="F28" s="184" t="str"/>
      <c r="G28" s="184" t="str"/>
      <c r="H28" s="126" t="str"/>
      <c r="I28" s="185" t="str"/>
      <c r="J28" s="185" t="str"/>
      <c r="K28" s="126" t="str"/>
      <c r="L28" s="126" t="str"/>
      <c r="M28" s="126" t="str"/>
    </row>
    <row r="29">
      <c r="A29" s="126" t="str"/>
      <c r="B29" s="126" t="str"/>
      <c r="C29" s="126" t="str"/>
      <c r="D29" s="126" t="str"/>
      <c r="E29" s="126" t="str"/>
      <c r="F29" s="184" t="str"/>
      <c r="G29" s="184" t="str"/>
      <c r="H29" s="126" t="str"/>
      <c r="I29" s="185" t="str"/>
      <c r="J29" s="185" t="str"/>
      <c r="K29" s="126" t="str"/>
      <c r="L29" s="126" t="str"/>
      <c r="M29" s="126" t="str"/>
    </row>
    <row r="30">
      <c r="A30" s="126" t="str"/>
      <c r="B30" s="126" t="str"/>
      <c r="C30" s="126" t="str"/>
      <c r="D30" s="126" t="str"/>
      <c r="E30" s="126" t="str"/>
      <c r="F30" s="184" t="str"/>
      <c r="G30" s="184" t="str"/>
      <c r="H30" s="126" t="str"/>
      <c r="I30" s="185" t="str"/>
      <c r="J30" s="185" t="str"/>
      <c r="K30" s="126" t="str"/>
      <c r="L30" s="126" t="str"/>
      <c r="M30" s="126" t="str"/>
    </row>
    <row r="31">
      <c r="A31" s="126" t="str"/>
      <c r="B31" s="126" t="str"/>
      <c r="C31" s="126" t="str"/>
      <c r="D31" s="126" t="str"/>
      <c r="E31" s="126" t="str"/>
      <c r="F31" s="184" t="str"/>
      <c r="G31" s="184" t="str"/>
      <c r="H31" s="126" t="str"/>
      <c r="I31" s="185" t="str"/>
      <c r="J31" s="185" t="str"/>
      <c r="K31" s="126" t="str"/>
      <c r="L31" s="126" t="str"/>
      <c r="M31" s="126" t="str"/>
    </row>
    <row r="32">
      <c r="A32" s="126" t="str"/>
      <c r="B32" s="126" t="str"/>
      <c r="C32" s="126" t="str"/>
      <c r="D32" s="126" t="str"/>
      <c r="E32" s="126" t="str"/>
      <c r="F32" s="184" t="str"/>
      <c r="G32" s="184" t="str"/>
      <c r="H32" s="126" t="str"/>
      <c r="I32" s="185" t="str"/>
      <c r="J32" s="185" t="str"/>
      <c r="K32" s="126" t="str"/>
      <c r="L32" s="126" t="str"/>
      <c r="M32" s="126" t="str"/>
    </row>
    <row r="33">
      <c r="A33" s="126" t="str"/>
      <c r="B33" s="126" t="str"/>
      <c r="C33" s="126" t="str"/>
      <c r="D33" s="126" t="str"/>
      <c r="E33" s="126" t="str"/>
      <c r="F33" s="184" t="str"/>
      <c r="G33" s="184" t="str"/>
      <c r="H33" s="126" t="str"/>
      <c r="I33" s="185" t="str"/>
      <c r="J33" s="185" t="str"/>
      <c r="K33" s="126" t="str"/>
      <c r="L33" s="126" t="str"/>
      <c r="M33" s="126" t="str"/>
    </row>
    <row r="34">
      <c r="A34" s="126" t="str"/>
      <c r="B34" s="126" t="str"/>
      <c r="C34" s="126" t="str"/>
      <c r="D34" s="126" t="str"/>
      <c r="E34" s="126" t="str"/>
      <c r="F34" s="184" t="str"/>
      <c r="G34" s="184" t="str"/>
      <c r="H34" s="126" t="str"/>
      <c r="I34" s="185" t="str"/>
      <c r="J34" s="185" t="str"/>
      <c r="K34" s="126" t="str"/>
      <c r="L34" s="126" t="str"/>
      <c r="M34" s="126" t="str"/>
    </row>
    <row r="35">
      <c r="A35" s="126" t="str"/>
      <c r="B35" s="126" t="str"/>
      <c r="C35" s="126" t="str"/>
      <c r="D35" s="126" t="str"/>
      <c r="E35" s="126" t="str"/>
      <c r="F35" s="184" t="str"/>
      <c r="G35" s="184" t="str"/>
      <c r="H35" s="126" t="str"/>
      <c r="I35" s="185" t="str"/>
      <c r="J35" s="185" t="str"/>
      <c r="K35" s="126" t="str"/>
      <c r="L35" s="126" t="str"/>
      <c r="M35" s="126" t="str"/>
    </row>
    <row r="36">
      <c r="A36" s="126" t="str"/>
      <c r="B36" s="126" t="str"/>
      <c r="C36" s="126" t="str"/>
      <c r="D36" s="126" t="str"/>
      <c r="E36" s="126" t="str"/>
      <c r="F36" s="184" t="str"/>
      <c r="G36" s="184" t="str"/>
      <c r="H36" s="126" t="str"/>
      <c r="I36" s="185" t="str"/>
      <c r="J36" s="185" t="str"/>
      <c r="K36" s="126" t="str"/>
      <c r="L36" s="126" t="str"/>
      <c r="M36" s="126" t="str"/>
    </row>
    <row r="37">
      <c r="A37" s="126" t="str"/>
      <c r="B37" s="126" t="str"/>
      <c r="C37" s="126" t="str"/>
      <c r="D37" s="126" t="str"/>
      <c r="E37" s="126" t="str"/>
      <c r="F37" s="184" t="str"/>
      <c r="G37" s="184" t="str"/>
      <c r="H37" s="126" t="str"/>
      <c r="I37" s="185" t="str"/>
      <c r="J37" s="185" t="str"/>
      <c r="K37" s="126" t="str"/>
      <c r="L37" s="126" t="str"/>
      <c r="M37" s="126" t="str"/>
    </row>
    <row r="38">
      <c r="A38" s="126" t="str"/>
      <c r="B38" s="126" t="str"/>
      <c r="C38" s="126" t="str"/>
      <c r="D38" s="126" t="str"/>
      <c r="E38" s="126" t="str"/>
      <c r="F38" s="184" t="str"/>
      <c r="G38" s="184" t="str"/>
      <c r="H38" s="126" t="str"/>
      <c r="I38" s="185" t="str"/>
      <c r="J38" s="185" t="str"/>
      <c r="K38" s="126" t="str"/>
      <c r="L38" s="126" t="str"/>
      <c r="M38" s="126" t="str"/>
    </row>
    <row r="39">
      <c r="A39" s="126" t="str"/>
      <c r="B39" s="126" t="str"/>
      <c r="C39" s="126" t="str"/>
      <c r="D39" s="126" t="str"/>
      <c r="E39" s="126" t="str"/>
      <c r="F39" s="184" t="str"/>
      <c r="G39" s="184" t="str"/>
      <c r="H39" s="126" t="str"/>
      <c r="I39" s="185" t="str"/>
      <c r="J39" s="185" t="str"/>
      <c r="K39" s="126" t="str"/>
      <c r="L39" s="126" t="str"/>
      <c r="M39" s="126" t="str"/>
    </row>
    <row r="40">
      <c r="A40" s="126" t="str"/>
      <c r="B40" s="126" t="str"/>
      <c r="C40" s="126" t="str"/>
      <c r="D40" s="126" t="str"/>
      <c r="E40" s="126" t="str"/>
      <c r="F40" s="184" t="str"/>
      <c r="G40" s="184" t="str"/>
      <c r="H40" s="126" t="str"/>
      <c r="I40" s="185" t="str"/>
      <c r="J40" s="185" t="str"/>
      <c r="K40" s="126" t="str"/>
      <c r="L40" s="126" t="str"/>
      <c r="M40" s="126" t="str"/>
    </row>
    <row r="41">
      <c r="A41" s="126" t="str"/>
      <c r="B41" s="126" t="str"/>
      <c r="C41" s="126" t="str"/>
      <c r="D41" s="126" t="str"/>
      <c r="E41" s="126" t="str"/>
      <c r="F41" s="184" t="str"/>
      <c r="G41" s="184" t="str"/>
      <c r="H41" s="126" t="str"/>
      <c r="I41" s="185" t="str"/>
      <c r="J41" s="185" t="str"/>
      <c r="K41" s="126" t="str"/>
      <c r="L41" s="126" t="str"/>
      <c r="M41" s="126" t="str"/>
    </row>
    <row r="42">
      <c r="A42" s="126" t="str"/>
      <c r="B42" s="126" t="str"/>
      <c r="C42" s="126" t="str"/>
      <c r="D42" s="126" t="str"/>
      <c r="E42" s="126" t="str"/>
      <c r="F42" s="184" t="str"/>
      <c r="G42" s="184" t="str"/>
      <c r="H42" s="126" t="str"/>
      <c r="I42" s="185" t="str"/>
      <c r="J42" s="185" t="str"/>
      <c r="K42" s="126" t="str"/>
      <c r="L42" s="126" t="str"/>
      <c r="M42" s="126" t="str"/>
    </row>
    <row r="43">
      <c r="A43" s="126" t="str"/>
      <c r="B43" s="126" t="str"/>
      <c r="C43" s="126" t="str"/>
      <c r="D43" s="126" t="str"/>
      <c r="E43" s="126" t="str"/>
      <c r="F43" s="184" t="str"/>
      <c r="G43" s="184" t="str"/>
      <c r="H43" s="126" t="str"/>
      <c r="I43" s="185" t="str"/>
      <c r="J43" s="185" t="str"/>
      <c r="K43" s="126" t="str"/>
      <c r="L43" s="126" t="str"/>
      <c r="M43" s="126" t="str"/>
    </row>
    <row r="44">
      <c r="A44" s="126" t="str"/>
      <c r="B44" s="126" t="str"/>
      <c r="C44" s="126" t="str"/>
      <c r="D44" s="126" t="str"/>
      <c r="E44" s="126" t="str"/>
      <c r="F44" s="184" t="str"/>
      <c r="G44" s="184" t="str"/>
      <c r="H44" s="126" t="str"/>
      <c r="I44" s="185" t="str"/>
      <c r="J44" s="185" t="str"/>
      <c r="K44" s="126" t="str"/>
      <c r="L44" s="126" t="str"/>
      <c r="M44" s="126" t="str"/>
    </row>
    <row r="45">
      <c r="A45" s="161" t="str"/>
      <c r="B45" s="161" t="str"/>
      <c r="C45" s="161" t="str"/>
      <c r="D45" s="161" t="str"/>
      <c r="E45" s="161" t="str"/>
      <c r="F45" s="187" t="str"/>
      <c r="G45" s="187" t="str"/>
      <c r="H45" s="161" t="str"/>
      <c r="I45" s="188" t="str"/>
      <c r="J45" s="188" t="str"/>
      <c r="K45" s="161" t="str"/>
      <c r="L45" s="161" t="str"/>
      <c r="M45" s="161" t="str"/>
    </row>
  </sheetData>
  <mergeCells count="1">
    <mergeCell ref="A1:M2"/>
  </mergeCells>
  <conditionalFormatting sqref="H6:H45">
    <cfRule type="containsText" priority="1" operator="containsText" dxfId="0" text="Replied"/>
    <cfRule type="containsText" priority="2" operator="containsText" dxfId="1" text="Clarification Needed"/>
    <cfRule type="containsText" priority="3" operator="containsText" dxfId="2" text="Rejected"/>
  </conditionalFormatting>
  <dataValidations count="1">
    <dataValidation sqref="H6:H45" showDropDown="0" showInputMessage="0" showErrorMessage="0" allowBlank="0" type="list">
      <formula1>"Not Contacted,Sent,Replied,Clarification Needed,Shortlisted,Rejected"</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18" customWidth="1" min="1" max="1"/>
    <col width="55" customWidth="1" min="2" max="2"/>
    <col width="18" customWidth="1" min="3" max="3"/>
    <col width="18" customWidth="1" min="4" max="4"/>
    <col width="18" customWidth="1" min="5" max="5"/>
    <col width="18" customWidth="1" min="6" max="6"/>
    <col width="18" customWidth="1" min="7" max="7"/>
    <col width="18" customWidth="1" min="8" max="8"/>
  </cols>
  <sheetData>
    <row r="1" ht="34" customHeight="1">
      <c r="A1" s="4" t="inlineStr">
        <is>
          <t>SUPPLIER EMAIL – RFQ FOR 450 GEARBOXES</t>
        </is>
      </c>
    </row>
    <row r="2" ht="34" customHeight="1"/>
    <row r="4">
      <c r="A4" s="6" t="inlineStr">
        <is>
          <t>Subject</t>
        </is>
      </c>
      <c r="B4" t="inlineStr">
        <is>
          <t>RFQ – 450 Industrial Gearboxes and Speed Reducers for Jordan Market</t>
        </is>
      </c>
    </row>
    <row r="5">
      <c r="A5" s="6" t="inlineStr">
        <is>
          <t>Attachment</t>
        </is>
      </c>
      <c r="B5" t="inlineStr">
        <is>
          <t>Almotasem_Gearboxes_RFQ_450_Units.xlsx</t>
        </is>
      </c>
    </row>
    <row r="6">
      <c r="A6" s="6" t="inlineStr">
        <is>
          <t>Sender</t>
        </is>
      </c>
      <c r="B6" t="inlineStr">
        <is>
          <t>Almotasem Industrial Equipment Company</t>
        </is>
      </c>
    </row>
    <row r="7">
      <c r="A7" s="6" t="inlineStr">
        <is>
          <t>Email</t>
        </is>
      </c>
      <c r="B7" t="inlineStr">
        <is>
          <t>dr.jobaili@gmail.com</t>
        </is>
      </c>
    </row>
    <row r="8">
      <c r="A8" s="6" t="inlineStr">
        <is>
          <t>Phone / WhatsApp</t>
        </is>
      </c>
      <c r="B8" t="inlineStr">
        <is>
          <t>+962 79 686 8734</t>
        </is>
      </c>
    </row>
    <row r="10">
      <c r="A10" s="189" t="inlineStr">
        <is>
          <t>Dear Sales Team,
Almotasem Industrial Equipment Company, established in 2019 in Amman, Jordan, is expanding its new industrial power-transmission product range.
Please provide your best quotation for the attached RFQ covering 450 industrial gearboxes and speed reducers, including NMRV worm gearboxes, helical inline, helical bevel, parallel-shaft and shaft-mounted reducers.
Please complete the yellow cells in the RFQ file and provide:
• EXW and FOB prices
• Production lead time and payment terms
• Warranty and packing details
• Product catalogues and dimensional drawings
• Rated torque, service factor and IEC motor-adaptor compatibility
• Certificates, spare-parts prices and any specification deviations
• Distributor or agency availability for Jordan
Please identify any item you cannot manufacture and offer the nearest technically equivalent alternative separately.
We look forward to receiving your competitive offer and exploring long-term cooperation.
Best regards,
Almotasem Industrial Equipment Company
Amman, Jordan
Email: dr.jobaili@gmail.com
Phone / WhatsApp: +962 79 686 8734</t>
        </is>
      </c>
      <c r="B10" s="190" t="n"/>
      <c r="C10" s="190" t="n"/>
      <c r="D10" s="190" t="n"/>
      <c r="E10" s="190" t="n"/>
      <c r="F10" s="190" t="n"/>
      <c r="G10" s="190" t="n"/>
      <c r="H10" s="191" t="n"/>
    </row>
    <row r="11">
      <c r="A11" s="192" t="n"/>
      <c r="H11" s="193" t="n"/>
    </row>
    <row r="12">
      <c r="A12" s="192" t="n"/>
      <c r="H12" s="193" t="n"/>
    </row>
    <row r="13">
      <c r="A13" s="192" t="n"/>
      <c r="H13" s="193" t="n"/>
    </row>
    <row r="14">
      <c r="A14" s="192" t="n"/>
      <c r="H14" s="193" t="n"/>
    </row>
    <row r="15">
      <c r="A15" s="192" t="n"/>
      <c r="H15" s="193" t="n"/>
    </row>
    <row r="16">
      <c r="A16" s="192" t="n"/>
      <c r="H16" s="193" t="n"/>
    </row>
    <row r="17">
      <c r="A17" s="192" t="n"/>
      <c r="H17" s="193" t="n"/>
    </row>
    <row r="18">
      <c r="A18" s="192" t="n"/>
      <c r="H18" s="193" t="n"/>
    </row>
    <row r="19">
      <c r="A19" s="192" t="n"/>
      <c r="H19" s="193" t="n"/>
    </row>
    <row r="20">
      <c r="A20" s="192" t="n"/>
      <c r="H20" s="193" t="n"/>
    </row>
    <row r="21">
      <c r="A21" s="192" t="n"/>
      <c r="H21" s="193" t="n"/>
    </row>
    <row r="22">
      <c r="A22" s="192" t="n"/>
      <c r="H22" s="193" t="n"/>
    </row>
    <row r="23">
      <c r="A23" s="194" t="n"/>
      <c r="B23" s="195" t="n"/>
      <c r="C23" s="195" t="n"/>
      <c r="D23" s="195" t="n"/>
      <c r="E23" s="195" t="n"/>
      <c r="F23" s="195" t="n"/>
      <c r="G23" s="195" t="n"/>
      <c r="H23" s="196" t="n"/>
    </row>
  </sheetData>
  <mergeCells count="2">
    <mergeCell ref="A1:H2"/>
    <mergeCell ref="A10:H2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2026-09-24T14:14:05Z</dcterms:created>
  <dcterms:modified xsi:type="dcterms:W3CDTF">2026-09-30T10:23:34Z</dcterms:modified>
</cp:coreProperties>
</file>