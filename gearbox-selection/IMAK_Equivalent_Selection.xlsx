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İ.Mak Priced Quotation" sheetId="1" state="visible" r:id="rId1"/>
    <sheet name="Summary" sheetId="2" state="visible" r:id="rId2"/>
    <sheet name="Basis &amp; Assumptions" sheetId="3" state="visible" r:id="rId3"/>
  </sheets>
  <definedNames>
    <definedName name="_xlnm._FilterDatabase" localSheetId="0" hidden="1">'İ.Mak Priced Quotation'!$A$4:$AY$149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1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sz val="13"/>
    </font>
    <font>
      <name val="Arial"/>
      <b val="1"/>
      <color rgb="00FFFFFF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FFFF00"/>
      </patternFill>
    </fill>
    <fill>
      <patternFill patternType="solid">
        <fgColor rgb="001F6F8B"/>
      </patternFill>
    </fill>
    <fill>
      <patternFill patternType="solid">
        <fgColor rgb="007A4E00"/>
      </patternFill>
    </fill>
    <fill>
      <patternFill patternType="solid">
        <fgColor rgb="005B2C83"/>
      </patternFill>
    </fill>
    <fill>
      <patternFill patternType="solid">
        <fgColor rgb="002E6B30"/>
      </patternFill>
    </fill>
    <fill>
      <patternFill patternType="solid">
        <fgColor rgb="00EAF4F7"/>
      </patternFill>
    </fill>
    <fill>
      <patternFill patternType="solid">
        <fgColor rgb="00FFF4E0"/>
      </patternFill>
    </fill>
    <fill>
      <patternFill patternType="solid">
        <fgColor rgb="00E3F2D9"/>
      </patternFill>
    </fill>
    <fill>
      <patternFill patternType="solid">
        <fgColor rgb="00F3E8FA"/>
      </patternFill>
    </fill>
    <fill>
      <patternFill patternType="solid">
        <fgColor rgb="00FDE2E1"/>
      </patternFill>
    </fill>
    <fill>
      <patternFill patternType="solid">
        <fgColor rgb="00FFE0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9" fontId="4" fillId="3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7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4" fontId="8" fillId="0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4" fontId="10" fillId="10" borderId="1" applyAlignment="1" pivotButton="0" quotePrefix="0" xfId="0">
      <alignment vertical="top"/>
    </xf>
    <xf numFmtId="4" fontId="8" fillId="11" borderId="1" applyAlignment="1" pivotButton="0" quotePrefix="0" xfId="0">
      <alignment vertical="top"/>
    </xf>
    <xf numFmtId="4" fontId="9" fillId="11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1" pivotButton="0" quotePrefix="0" xfId="0"/>
    <xf numFmtId="0" fontId="6" fillId="12" borderId="1" applyAlignment="1" pivotButton="0" quotePrefix="0" xfId="0">
      <alignment vertical="top" wrapText="1"/>
    </xf>
    <xf numFmtId="0" fontId="3" fillId="0" borderId="0" pivotButton="0" quotePrefix="0" xfId="0"/>
    <xf numFmtId="164" fontId="3" fillId="13" borderId="1" pivotButton="0" quotePrefix="0" xfId="0"/>
    <xf numFmtId="0" fontId="11" fillId="0" borderId="0" pivotButton="0" quotePrefix="0" xfId="0"/>
    <xf numFmtId="0" fontId="12" fillId="2" borderId="0" applyAlignment="1" pivotButton="0" quotePrefix="0" xfId="0">
      <alignment wrapText="1"/>
    </xf>
    <xf numFmtId="0" fontId="13" fillId="0" borderId="1" pivotButton="0" quotePrefix="0" xfId="0"/>
    <xf numFmtId="164" fontId="13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L2" authorId="0" shapeId="0">
      <text>
        <t>Discount requested by user: 35% off the 26.01.2026 list price. Change here and every net price updates.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1" customWidth="1" min="3" max="3"/>
    <col width="9" customWidth="1" min="4" max="4"/>
    <col width="7" customWidth="1" min="5" max="5"/>
    <col width="8" customWidth="1" min="6" max="6"/>
    <col width="12" customWidth="1" min="7" max="7"/>
    <col width="13" customWidth="1" min="8" max="8"/>
    <col width="13" customWidth="1" min="9" max="9"/>
    <col width="5" customWidth="1" min="10" max="10"/>
    <col width="15" customWidth="1" min="11" max="11"/>
    <col width="32" customWidth="1" min="12" max="12"/>
    <col width="26" customWidth="1" min="13" max="13"/>
    <col width="8" customWidth="1" min="14" max="14"/>
    <col width="8" customWidth="1" min="15" max="15"/>
    <col width="8" customWidth="1" min="16" max="16"/>
    <col width="13" customWidth="1" min="17" max="17"/>
    <col width="18" customWidth="1" min="18" max="18"/>
    <col width="20" customWidth="1" min="19" max="19"/>
    <col width="18" customWidth="1" min="20" max="20"/>
    <col width="30" customWidth="1" min="21" max="21"/>
    <col width="22" customWidth="1" min="22" max="22"/>
    <col width="55" customWidth="1" min="23" max="23"/>
    <col width="30" customWidth="1" min="24" max="24"/>
    <col width="20" customWidth="1" min="25" max="25"/>
    <col width="10" customWidth="1" min="26" max="26"/>
    <col width="30" customWidth="1" min="27" max="27"/>
    <col width="11" customWidth="1" min="28" max="28"/>
    <col width="11" customWidth="1" min="29" max="29"/>
    <col width="11" customWidth="1" min="30" max="30"/>
    <col width="11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40" customWidth="1" min="50" max="50"/>
    <col width="10" customWidth="1" min="51" max="51"/>
  </cols>
  <sheetData>
    <row r="1">
      <c r="A1" s="1" t="inlineStr">
        <is>
          <t>İ.MAK EQUIVALENT SELECTION &amp; PRICING – RFQ GEARBOXES &amp; SPEED REDUCERS</t>
        </is>
      </c>
    </row>
    <row r="2">
      <c r="A2" s="2" t="inlineStr">
        <is>
          <t>Prices: İ.Mak Gearbox Standard Series Euro Price List dated 26.01.2026 (EXW, €). Every unit is priced as the IEC-input (PAM flange) reducer except İRNX, which has no IEC version. Page numbers are the printed price-list pages.</t>
        </is>
      </c>
      <c r="K2" s="3" t="inlineStr">
        <is>
          <t>Discount on list price:</t>
        </is>
      </c>
      <c r="L2" s="4" t="n">
        <v>0.35</v>
      </c>
    </row>
    <row r="4" ht="45" customHeight="1">
      <c r="A4" s="5" t="inlineStr">
        <is>
          <t>Item No.</t>
        </is>
      </c>
      <c r="B4" s="5" t="inlineStr">
        <is>
          <t>Category</t>
        </is>
      </c>
      <c r="C4" s="5" t="inlineStr">
        <is>
          <t>RFQ Series / Type</t>
        </is>
      </c>
      <c r="D4" s="5" t="inlineStr">
        <is>
          <t>RFQ Size</t>
        </is>
      </c>
      <c r="E4" s="5" t="inlineStr">
        <is>
          <t>Motor Power (kW)</t>
        </is>
      </c>
      <c r="F4" s="5" t="inlineStr">
        <is>
          <t>RFQ Reduction Ratio</t>
        </is>
      </c>
      <c r="G4" s="5" t="inlineStr">
        <is>
          <t>Mounting</t>
        </is>
      </c>
      <c r="H4" s="5" t="inlineStr">
        <is>
          <t>Output</t>
        </is>
      </c>
      <c r="I4" s="5" t="inlineStr">
        <is>
          <t>Input</t>
        </is>
      </c>
      <c r="J4" s="5" t="inlineStr">
        <is>
          <t>Qty</t>
        </is>
      </c>
      <c r="K4" s="6" t="inlineStr">
        <is>
          <t>İ.Mak Series</t>
        </is>
      </c>
      <c r="L4" s="6" t="inlineStr">
        <is>
          <t>İ.Mak Equivalent – Reducer (IEC input)</t>
        </is>
      </c>
      <c r="M4" s="6" t="inlineStr">
        <is>
          <t>İ.Mak Equivalent – Complete Gearmotor</t>
        </is>
      </c>
      <c r="N4" s="6" t="inlineStr">
        <is>
          <t>Catalogue Ratio i</t>
        </is>
      </c>
      <c r="O4" s="6" t="inlineStr">
        <is>
          <t>n2 @1400 rpm (rpm)</t>
        </is>
      </c>
      <c r="P4" s="6" t="inlineStr">
        <is>
          <t>Rated M2 (Nm)</t>
        </is>
      </c>
      <c r="Q4" s="6" t="inlineStr">
        <is>
          <t>Sf / Capacity</t>
        </is>
      </c>
      <c r="R4" s="6" t="inlineStr">
        <is>
          <t>Rating Basis</t>
        </is>
      </c>
      <c r="S4" s="6" t="inlineStr">
        <is>
          <t>Output Detail</t>
        </is>
      </c>
      <c r="T4" s="6" t="inlineStr">
        <is>
          <t>IEC Input Flange</t>
        </is>
      </c>
      <c r="U4" s="6" t="inlineStr">
        <is>
          <t>Options (catalogue codes)</t>
        </is>
      </c>
      <c r="V4" s="6" t="inlineStr">
        <is>
          <t>Catalogue Reference (printed page)</t>
        </is>
      </c>
      <c r="W4" s="6" t="inlineStr">
        <is>
          <t>Selection Notes / Deviations</t>
        </is>
      </c>
      <c r="X4" s="7" t="inlineStr">
        <is>
          <t>Price-List Designation (as listed)</t>
        </is>
      </c>
      <c r="Y4" s="7" t="inlineStr">
        <is>
          <t>Price-List Page (26.01.2026)</t>
        </is>
      </c>
      <c r="Z4" s="7" t="inlineStr">
        <is>
          <t>Exists in Price List?</t>
        </is>
      </c>
      <c r="AA4" s="7" t="inlineStr">
        <is>
          <t>What the Unit Price Includes</t>
        </is>
      </c>
      <c r="AB4" s="7" t="inlineStr">
        <is>
          <t>Unit List Price (€)</t>
        </is>
      </c>
      <c r="AC4" s="7" t="inlineStr">
        <is>
          <t>Total List Price (€)</t>
        </is>
      </c>
      <c r="AD4" s="7" t="inlineStr">
        <is>
          <t>Unit Net Price after Discount (€)</t>
        </is>
      </c>
      <c r="AE4" s="7" t="inlineStr">
        <is>
          <t>Total Net Price after Discount (€)</t>
        </is>
      </c>
      <c r="AF4" s="8" t="inlineStr">
        <is>
          <t>Output Flange – List (€/unit)</t>
        </is>
      </c>
      <c r="AG4" s="8" t="inlineStr">
        <is>
          <t>Output Flange – Net (€/unit)</t>
        </is>
      </c>
      <c r="AH4" s="8" t="inlineStr">
        <is>
          <t>Torque Arm – List (€/unit)</t>
        </is>
      </c>
      <c r="AI4" s="8" t="inlineStr">
        <is>
          <t>Torque Arm – Net (€/unit)</t>
        </is>
      </c>
      <c r="AJ4" s="8" t="inlineStr">
        <is>
          <t>Output Shaft – List (€/unit)</t>
        </is>
      </c>
      <c r="AK4" s="8" t="inlineStr">
        <is>
          <t>Output Shaft – Net (€/unit)</t>
        </is>
      </c>
      <c r="AL4" s="8" t="inlineStr">
        <is>
          <t>Shrink Disc – List (€/unit)</t>
        </is>
      </c>
      <c r="AM4" s="8" t="inlineStr">
        <is>
          <t>Shrink Disc – Net (€/unit)</t>
        </is>
      </c>
      <c r="AN4" s="8" t="inlineStr">
        <is>
          <t>Backstop – List (€/unit)</t>
        </is>
      </c>
      <c r="AO4" s="8" t="inlineStr">
        <is>
          <t>Backstop – Net (€/unit)</t>
        </is>
      </c>
      <c r="AP4" s="9" t="inlineStr">
        <is>
          <t>All Options – List (€/unit)</t>
        </is>
      </c>
      <c r="AQ4" s="9" t="inlineStr">
        <is>
          <t>All Options – Net (€/unit)</t>
        </is>
      </c>
      <c r="AR4" s="9" t="inlineStr">
        <is>
          <t>All Options – List Total (€)</t>
        </is>
      </c>
      <c r="AS4" s="9" t="inlineStr">
        <is>
          <t>All Options – Net Total (€)</t>
        </is>
      </c>
      <c r="AT4" s="9" t="inlineStr">
        <is>
          <t>Unit List incl. Options (€)</t>
        </is>
      </c>
      <c r="AU4" s="9" t="inlineStr">
        <is>
          <t>Unit Net incl. Options (€)</t>
        </is>
      </c>
      <c r="AV4" s="9" t="inlineStr">
        <is>
          <t>Total List incl. Options (€)</t>
        </is>
      </c>
      <c r="AW4" s="9" t="inlineStr">
        <is>
          <t>Total Net incl. Options (€)</t>
        </is>
      </c>
      <c r="AX4" s="9" t="inlineStr">
        <is>
          <t>Option Notes</t>
        </is>
      </c>
      <c r="AY4" s="9" t="inlineStr">
        <is>
          <t>Lead Time</t>
        </is>
      </c>
    </row>
    <row r="5">
      <c r="A5" s="10" t="inlineStr">
        <is>
          <t>GB-001</t>
        </is>
      </c>
      <c r="B5" s="10" t="inlineStr">
        <is>
          <t>Worm Gearbox</t>
        </is>
      </c>
      <c r="C5" s="10" t="inlineStr">
        <is>
          <t>NMRV</t>
        </is>
      </c>
      <c r="D5" s="10" t="inlineStr">
        <is>
          <t>040</t>
        </is>
      </c>
      <c r="E5" s="10" t="n"/>
      <c r="F5" s="10" t="inlineStr">
        <is>
          <t>1:10</t>
        </is>
      </c>
      <c r="G5" s="10" t="inlineStr">
        <is>
          <t>Universal</t>
        </is>
      </c>
      <c r="H5" s="10" t="inlineStr">
        <is>
          <t>Hollow shaft, keyed</t>
        </is>
      </c>
      <c r="I5" s="10" t="inlineStr">
        <is>
          <t>IEC motor adaptor/input</t>
        </is>
      </c>
      <c r="J5" s="10" t="n">
        <v>6</v>
      </c>
      <c r="K5" s="11" t="inlineStr">
        <is>
          <t>S series (worm)</t>
        </is>
      </c>
      <c r="L5" s="12" t="inlineStr">
        <is>
          <t>SP 40  i=10  (IEC B14/B5 input flange, hollow output)</t>
        </is>
      </c>
      <c r="M5" s="13" t="inlineStr">
        <is>
          <t>— (motor power not specified in RFQ)</t>
        </is>
      </c>
      <c r="N5" s="11" t="n">
        <v>10</v>
      </c>
      <c r="O5" s="11" t="n">
        <v>140</v>
      </c>
      <c r="P5" s="11" t="n">
        <v>37</v>
      </c>
      <c r="Q5" s="13" t="inlineStr">
        <is>
          <t>P1 max 0.66 kW at Sf=1</t>
        </is>
      </c>
      <c r="R5" s="13" t="inlineStr">
        <is>
          <t>Reducer table n1=1400 rpm, Sf=1 (η 82%)</t>
        </is>
      </c>
      <c r="S5" s="13" t="inlineStr">
        <is>
          <t>Hollow shaft Ø18 H7, keyed</t>
        </is>
      </c>
      <c r="T5" s="13" t="inlineStr">
        <is>
          <t>IEC 63, 71 (B14 or B5)</t>
        </is>
      </c>
      <c r="U5" s="13" t="inlineStr">
        <is>
          <t>FR/FL output flange; TR/TL torque arm; SR/SL/SD output shaft; oil 211 synthetic VG220 if required</t>
        </is>
      </c>
      <c r="V5" s="13" t="inlineStr">
        <is>
          <t>S-IRS-IRSD 2025: ratings p.61; dims p.73-74</t>
        </is>
      </c>
      <c r="W5" s="13" t="inlineStr">
        <is>
          <t>Direct size-for-size NMRV equivalent (same centre distance and hollow bore). Ratio is a standard catalogue ratio.</t>
        </is>
      </c>
      <c r="X5" s="14" t="inlineStr">
        <is>
          <t>S/SP 40</t>
        </is>
      </c>
      <c r="Y5" s="15" t="inlineStr">
        <is>
          <t>p.55 (S series aluminium worm gear units)</t>
        </is>
      </c>
      <c r="Z5" s="15" t="inlineStr">
        <is>
          <t>YES</t>
        </is>
      </c>
      <c r="AA5" s="15" t="inlineStr">
        <is>
          <t>Gearbox with IEC input flange (SP) and hollow output shaft</t>
        </is>
      </c>
      <c r="AB5" s="16" t="n">
        <v>105</v>
      </c>
      <c r="AC5" s="17">
        <f>$J5*AB5</f>
        <v/>
      </c>
      <c r="AD5" s="18">
        <f>ROUND(AB5*(1-$L$2),2)</f>
        <v/>
      </c>
      <c r="AE5" s="18">
        <f>$J5*AD5</f>
        <v/>
      </c>
      <c r="AF5" s="19" t="n">
        <v>7</v>
      </c>
      <c r="AG5" s="20">
        <f>ROUND(AF5*(1-$L$2),2)</f>
        <v/>
      </c>
      <c r="AH5" s="19" t="n">
        <v>9</v>
      </c>
      <c r="AI5" s="20">
        <f>ROUND(AH5*(1-$L$2),2)</f>
        <v/>
      </c>
      <c r="AJ5" s="19" t="n">
        <v>8</v>
      </c>
      <c r="AK5" s="20">
        <f>ROUND(AJ5*(1-$L$2),2)</f>
        <v/>
      </c>
      <c r="AL5" s="17" t="n"/>
      <c r="AM5" s="17" t="n"/>
      <c r="AN5" s="17" t="n"/>
      <c r="AO5" s="17" t="n"/>
      <c r="AP5" s="17">
        <f>SUM(AF5,AH5,AJ5,AL5,AN5)</f>
        <v/>
      </c>
      <c r="AQ5" s="17">
        <f>SUM(AG5,AI5,AK5,AM5,AO5)</f>
        <v/>
      </c>
      <c r="AR5" s="17">
        <f>$J5*AP5</f>
        <v/>
      </c>
      <c r="AS5" s="17">
        <f>$J5*AQ5</f>
        <v/>
      </c>
      <c r="AT5" s="17">
        <f>AB5+AP5</f>
        <v/>
      </c>
      <c r="AU5" s="18">
        <f>AD5+AQ5</f>
        <v/>
      </c>
      <c r="AV5" s="17">
        <f>$J5*AT5</f>
        <v/>
      </c>
      <c r="AW5" s="18">
        <f>$J5*AU5</f>
        <v/>
      </c>
      <c r="AX5" s="21" t="inlineStr"/>
      <c r="AY5" s="22" t="n"/>
    </row>
    <row r="6">
      <c r="A6" s="10" t="inlineStr">
        <is>
          <t>GB-002</t>
        </is>
      </c>
      <c r="B6" s="10" t="inlineStr">
        <is>
          <t>Worm Gearbox</t>
        </is>
      </c>
      <c r="C6" s="10" t="inlineStr">
        <is>
          <t>NMRV</t>
        </is>
      </c>
      <c r="D6" s="10" t="inlineStr">
        <is>
          <t>040</t>
        </is>
      </c>
      <c r="E6" s="10" t="n"/>
      <c r="F6" s="10" t="inlineStr">
        <is>
          <t>1:15</t>
        </is>
      </c>
      <c r="G6" s="10" t="inlineStr">
        <is>
          <t>Universal</t>
        </is>
      </c>
      <c r="H6" s="10" t="inlineStr">
        <is>
          <t>Hollow shaft, keyed</t>
        </is>
      </c>
      <c r="I6" s="10" t="inlineStr">
        <is>
          <t>IEC motor adaptor/input</t>
        </is>
      </c>
      <c r="J6" s="10" t="n">
        <v>5</v>
      </c>
      <c r="K6" s="11" t="inlineStr">
        <is>
          <t>S series (worm)</t>
        </is>
      </c>
      <c r="L6" s="12" t="inlineStr">
        <is>
          <t>SP 40  i=15  (IEC B14/B5 input flange, hollow output)</t>
        </is>
      </c>
      <c r="M6" s="13" t="inlineStr">
        <is>
          <t>— (motor power not specified in RFQ)</t>
        </is>
      </c>
      <c r="N6" s="11" t="n">
        <v>15</v>
      </c>
      <c r="O6" s="11" t="n">
        <v>93</v>
      </c>
      <c r="P6" s="11" t="n">
        <v>37</v>
      </c>
      <c r="Q6" s="13" t="inlineStr">
        <is>
          <t>P1 max 0.46 kW at Sf=1</t>
        </is>
      </c>
      <c r="R6" s="13" t="inlineStr">
        <is>
          <t>Reducer table n1=1400 rpm, Sf=1 (η 79%)</t>
        </is>
      </c>
      <c r="S6" s="13" t="inlineStr">
        <is>
          <t>Hollow shaft Ø18 H7, keyed</t>
        </is>
      </c>
      <c r="T6" s="13" t="inlineStr">
        <is>
          <t>IEC 63, 71 (B14 or B5)</t>
        </is>
      </c>
      <c r="U6" s="13" t="inlineStr">
        <is>
          <t>FR/FL output flange; TR/TL torque arm; SR/SL/SD output shaft; oil 211 synthetic VG220 if required</t>
        </is>
      </c>
      <c r="V6" s="13" t="inlineStr">
        <is>
          <t>S-IRS-IRSD 2025: ratings p.61; dims p.73-74</t>
        </is>
      </c>
      <c r="W6" s="13" t="inlineStr">
        <is>
          <t>Direct size-for-size NMRV equivalent (same centre distance and hollow bore). Ratio is a standard catalogue ratio.</t>
        </is>
      </c>
      <c r="X6" s="14" t="inlineStr">
        <is>
          <t>S/SP 40</t>
        </is>
      </c>
      <c r="Y6" s="15" t="inlineStr">
        <is>
          <t>p.55 (S series aluminium worm gear units)</t>
        </is>
      </c>
      <c r="Z6" s="15" t="inlineStr">
        <is>
          <t>YES</t>
        </is>
      </c>
      <c r="AA6" s="15" t="inlineStr">
        <is>
          <t>Gearbox with IEC input flange (SP) and hollow output shaft</t>
        </is>
      </c>
      <c r="AB6" s="16" t="n">
        <v>105</v>
      </c>
      <c r="AC6" s="17">
        <f>$J6*AB6</f>
        <v/>
      </c>
      <c r="AD6" s="18">
        <f>ROUND(AB6*(1-$L$2),2)</f>
        <v/>
      </c>
      <c r="AE6" s="18">
        <f>$J6*AD6</f>
        <v/>
      </c>
      <c r="AF6" s="19" t="n">
        <v>7</v>
      </c>
      <c r="AG6" s="20">
        <f>ROUND(AF6*(1-$L$2),2)</f>
        <v/>
      </c>
      <c r="AH6" s="19" t="n">
        <v>9</v>
      </c>
      <c r="AI6" s="20">
        <f>ROUND(AH6*(1-$L$2),2)</f>
        <v/>
      </c>
      <c r="AJ6" s="19" t="n">
        <v>8</v>
      </c>
      <c r="AK6" s="20">
        <f>ROUND(AJ6*(1-$L$2),2)</f>
        <v/>
      </c>
      <c r="AL6" s="17" t="n"/>
      <c r="AM6" s="17" t="n"/>
      <c r="AN6" s="17" t="n"/>
      <c r="AO6" s="17" t="n"/>
      <c r="AP6" s="17">
        <f>SUM(AF6,AH6,AJ6,AL6,AN6)</f>
        <v/>
      </c>
      <c r="AQ6" s="17">
        <f>SUM(AG6,AI6,AK6,AM6,AO6)</f>
        <v/>
      </c>
      <c r="AR6" s="17">
        <f>$J6*AP6</f>
        <v/>
      </c>
      <c r="AS6" s="17">
        <f>$J6*AQ6</f>
        <v/>
      </c>
      <c r="AT6" s="17">
        <f>AB6+AP6</f>
        <v/>
      </c>
      <c r="AU6" s="18">
        <f>AD6+AQ6</f>
        <v/>
      </c>
      <c r="AV6" s="17">
        <f>$J6*AT6</f>
        <v/>
      </c>
      <c r="AW6" s="18">
        <f>$J6*AU6</f>
        <v/>
      </c>
      <c r="AX6" s="21" t="inlineStr"/>
      <c r="AY6" s="22" t="n"/>
    </row>
    <row r="7">
      <c r="A7" s="10" t="inlineStr">
        <is>
          <t>GB-003</t>
        </is>
      </c>
      <c r="B7" s="10" t="inlineStr">
        <is>
          <t>Worm Gearbox</t>
        </is>
      </c>
      <c r="C7" s="10" t="inlineStr">
        <is>
          <t>NMRV</t>
        </is>
      </c>
      <c r="D7" s="10" t="inlineStr">
        <is>
          <t>040</t>
        </is>
      </c>
      <c r="E7" s="10" t="n"/>
      <c r="F7" s="10" t="inlineStr">
        <is>
          <t>1:20</t>
        </is>
      </c>
      <c r="G7" s="10" t="inlineStr">
        <is>
          <t>Universal</t>
        </is>
      </c>
      <c r="H7" s="10" t="inlineStr">
        <is>
          <t>Hollow shaft, keyed</t>
        </is>
      </c>
      <c r="I7" s="10" t="inlineStr">
        <is>
          <t>IEC motor adaptor/input</t>
        </is>
      </c>
      <c r="J7" s="10" t="n">
        <v>6</v>
      </c>
      <c r="K7" s="11" t="inlineStr">
        <is>
          <t>S series (worm)</t>
        </is>
      </c>
      <c r="L7" s="12" t="inlineStr">
        <is>
          <t>SP 40  i=20  (IEC B14/B5 input flange, hollow output)</t>
        </is>
      </c>
      <c r="M7" s="13" t="inlineStr">
        <is>
          <t>— (motor power not specified in RFQ)</t>
        </is>
      </c>
      <c r="N7" s="11" t="n">
        <v>20</v>
      </c>
      <c r="O7" s="11" t="n">
        <v>70</v>
      </c>
      <c r="P7" s="11" t="n">
        <v>35</v>
      </c>
      <c r="Q7" s="13" t="inlineStr">
        <is>
          <t>P1 max 0.35 kW at Sf=1</t>
        </is>
      </c>
      <c r="R7" s="13" t="inlineStr">
        <is>
          <t>Reducer table n1=1400 rpm, Sf=1 (η 74%)</t>
        </is>
      </c>
      <c r="S7" s="13" t="inlineStr">
        <is>
          <t>Hollow shaft Ø18 H7, keyed</t>
        </is>
      </c>
      <c r="T7" s="13" t="inlineStr">
        <is>
          <t>IEC 63, 71 (B14 or B5)</t>
        </is>
      </c>
      <c r="U7" s="13" t="inlineStr">
        <is>
          <t>FR/FL output flange; TR/TL torque arm; SR/SL/SD output shaft; oil 211 synthetic VG220 if required</t>
        </is>
      </c>
      <c r="V7" s="13" t="inlineStr">
        <is>
          <t>S-IRS-IRSD 2025: ratings p.61; dims p.73-74</t>
        </is>
      </c>
      <c r="W7" s="13" t="inlineStr">
        <is>
          <t>Direct size-for-size NMRV equivalent (same centre distance and hollow bore). Ratio is a standard catalogue ratio.</t>
        </is>
      </c>
      <c r="X7" s="14" t="inlineStr">
        <is>
          <t>S/SP 40</t>
        </is>
      </c>
      <c r="Y7" s="15" t="inlineStr">
        <is>
          <t>p.55 (S series aluminium worm gear units)</t>
        </is>
      </c>
      <c r="Z7" s="15" t="inlineStr">
        <is>
          <t>YES</t>
        </is>
      </c>
      <c r="AA7" s="15" t="inlineStr">
        <is>
          <t>Gearbox with IEC input flange (SP) and hollow output shaft</t>
        </is>
      </c>
      <c r="AB7" s="16" t="n">
        <v>105</v>
      </c>
      <c r="AC7" s="17">
        <f>$J7*AB7</f>
        <v/>
      </c>
      <c r="AD7" s="18">
        <f>ROUND(AB7*(1-$L$2),2)</f>
        <v/>
      </c>
      <c r="AE7" s="18">
        <f>$J7*AD7</f>
        <v/>
      </c>
      <c r="AF7" s="19" t="n">
        <v>7</v>
      </c>
      <c r="AG7" s="20">
        <f>ROUND(AF7*(1-$L$2),2)</f>
        <v/>
      </c>
      <c r="AH7" s="19" t="n">
        <v>9</v>
      </c>
      <c r="AI7" s="20">
        <f>ROUND(AH7*(1-$L$2),2)</f>
        <v/>
      </c>
      <c r="AJ7" s="19" t="n">
        <v>8</v>
      </c>
      <c r="AK7" s="20">
        <f>ROUND(AJ7*(1-$L$2),2)</f>
        <v/>
      </c>
      <c r="AL7" s="17" t="n"/>
      <c r="AM7" s="17" t="n"/>
      <c r="AN7" s="17" t="n"/>
      <c r="AO7" s="17" t="n"/>
      <c r="AP7" s="17">
        <f>SUM(AF7,AH7,AJ7,AL7,AN7)</f>
        <v/>
      </c>
      <c r="AQ7" s="17">
        <f>SUM(AG7,AI7,AK7,AM7,AO7)</f>
        <v/>
      </c>
      <c r="AR7" s="17">
        <f>$J7*AP7</f>
        <v/>
      </c>
      <c r="AS7" s="17">
        <f>$J7*AQ7</f>
        <v/>
      </c>
      <c r="AT7" s="17">
        <f>AB7+AP7</f>
        <v/>
      </c>
      <c r="AU7" s="18">
        <f>AD7+AQ7</f>
        <v/>
      </c>
      <c r="AV7" s="17">
        <f>$J7*AT7</f>
        <v/>
      </c>
      <c r="AW7" s="18">
        <f>$J7*AU7</f>
        <v/>
      </c>
      <c r="AX7" s="21" t="inlineStr"/>
      <c r="AY7" s="22" t="n"/>
    </row>
    <row r="8">
      <c r="A8" s="10" t="inlineStr">
        <is>
          <t>GB-004</t>
        </is>
      </c>
      <c r="B8" s="10" t="inlineStr">
        <is>
          <t>Worm Gearbox</t>
        </is>
      </c>
      <c r="C8" s="10" t="inlineStr">
        <is>
          <t>NMRV</t>
        </is>
      </c>
      <c r="D8" s="10" t="inlineStr">
        <is>
          <t>040</t>
        </is>
      </c>
      <c r="E8" s="10" t="n"/>
      <c r="F8" s="10" t="inlineStr">
        <is>
          <t>1:25</t>
        </is>
      </c>
      <c r="G8" s="10" t="inlineStr">
        <is>
          <t>Universal</t>
        </is>
      </c>
      <c r="H8" s="10" t="inlineStr">
        <is>
          <t>Hollow shaft, keyed</t>
        </is>
      </c>
      <c r="I8" s="10" t="inlineStr">
        <is>
          <t>IEC motor adaptor/input</t>
        </is>
      </c>
      <c r="J8" s="10" t="n">
        <v>4</v>
      </c>
      <c r="K8" s="11" t="inlineStr">
        <is>
          <t>S series (worm)</t>
        </is>
      </c>
      <c r="L8" s="12" t="inlineStr">
        <is>
          <t>SP 40  i=25  (IEC B14/B5 input flange, hollow output)</t>
        </is>
      </c>
      <c r="M8" s="13" t="inlineStr">
        <is>
          <t>— (motor power not specified in RFQ)</t>
        </is>
      </c>
      <c r="N8" s="11" t="n">
        <v>25</v>
      </c>
      <c r="O8" s="11" t="n">
        <v>56</v>
      </c>
      <c r="P8" s="11" t="n">
        <v>36</v>
      </c>
      <c r="Q8" s="13" t="inlineStr">
        <is>
          <t>P1 max 0.3 kW at Sf=1</t>
        </is>
      </c>
      <c r="R8" s="13" t="inlineStr">
        <is>
          <t>Reducer table n1=1400 rpm, Sf=1 (η 71%)</t>
        </is>
      </c>
      <c r="S8" s="13" t="inlineStr">
        <is>
          <t>Hollow shaft Ø18 H7, keyed</t>
        </is>
      </c>
      <c r="T8" s="13" t="inlineStr">
        <is>
          <t>IEC 63, 71 (B14 or B5)</t>
        </is>
      </c>
      <c r="U8" s="13" t="inlineStr">
        <is>
          <t>FR/FL output flange; TR/TL torque arm; SR/SL/SD output shaft; oil 211 synthetic VG220 if required</t>
        </is>
      </c>
      <c r="V8" s="13" t="inlineStr">
        <is>
          <t>S-IRS-IRSD 2025: ratings p.61; dims p.73-74</t>
        </is>
      </c>
      <c r="W8" s="13" t="inlineStr">
        <is>
          <t>Direct size-for-size NMRV equivalent (same centre distance and hollow bore). Ratio is a standard catalogue ratio.</t>
        </is>
      </c>
      <c r="X8" s="14" t="inlineStr">
        <is>
          <t>S/SP 40</t>
        </is>
      </c>
      <c r="Y8" s="15" t="inlineStr">
        <is>
          <t>p.55 (S series aluminium worm gear units)</t>
        </is>
      </c>
      <c r="Z8" s="15" t="inlineStr">
        <is>
          <t>YES</t>
        </is>
      </c>
      <c r="AA8" s="15" t="inlineStr">
        <is>
          <t>Gearbox with IEC input flange (SP) and hollow output shaft</t>
        </is>
      </c>
      <c r="AB8" s="16" t="n">
        <v>105</v>
      </c>
      <c r="AC8" s="17">
        <f>$J8*AB8</f>
        <v/>
      </c>
      <c r="AD8" s="18">
        <f>ROUND(AB8*(1-$L$2),2)</f>
        <v/>
      </c>
      <c r="AE8" s="18">
        <f>$J8*AD8</f>
        <v/>
      </c>
      <c r="AF8" s="19" t="n">
        <v>7</v>
      </c>
      <c r="AG8" s="20">
        <f>ROUND(AF8*(1-$L$2),2)</f>
        <v/>
      </c>
      <c r="AH8" s="19" t="n">
        <v>9</v>
      </c>
      <c r="AI8" s="20">
        <f>ROUND(AH8*(1-$L$2),2)</f>
        <v/>
      </c>
      <c r="AJ8" s="19" t="n">
        <v>8</v>
      </c>
      <c r="AK8" s="20">
        <f>ROUND(AJ8*(1-$L$2),2)</f>
        <v/>
      </c>
      <c r="AL8" s="17" t="n"/>
      <c r="AM8" s="17" t="n"/>
      <c r="AN8" s="17" t="n"/>
      <c r="AO8" s="17" t="n"/>
      <c r="AP8" s="17">
        <f>SUM(AF8,AH8,AJ8,AL8,AN8)</f>
        <v/>
      </c>
      <c r="AQ8" s="17">
        <f>SUM(AG8,AI8,AK8,AM8,AO8)</f>
        <v/>
      </c>
      <c r="AR8" s="17">
        <f>$J8*AP8</f>
        <v/>
      </c>
      <c r="AS8" s="17">
        <f>$J8*AQ8</f>
        <v/>
      </c>
      <c r="AT8" s="17">
        <f>AB8+AP8</f>
        <v/>
      </c>
      <c r="AU8" s="18">
        <f>AD8+AQ8</f>
        <v/>
      </c>
      <c r="AV8" s="17">
        <f>$J8*AT8</f>
        <v/>
      </c>
      <c r="AW8" s="18">
        <f>$J8*AU8</f>
        <v/>
      </c>
      <c r="AX8" s="21" t="inlineStr"/>
      <c r="AY8" s="22" t="n"/>
    </row>
    <row r="9">
      <c r="A9" s="10" t="inlineStr">
        <is>
          <t>GB-005</t>
        </is>
      </c>
      <c r="B9" s="10" t="inlineStr">
        <is>
          <t>Worm Gearbox</t>
        </is>
      </c>
      <c r="C9" s="10" t="inlineStr">
        <is>
          <t>NMRV</t>
        </is>
      </c>
      <c r="D9" s="10" t="inlineStr">
        <is>
          <t>040</t>
        </is>
      </c>
      <c r="E9" s="10" t="n"/>
      <c r="F9" s="10" t="inlineStr">
        <is>
          <t>1:30</t>
        </is>
      </c>
      <c r="G9" s="10" t="inlineStr">
        <is>
          <t>Universal</t>
        </is>
      </c>
      <c r="H9" s="10" t="inlineStr">
        <is>
          <t>Hollow shaft, keyed</t>
        </is>
      </c>
      <c r="I9" s="10" t="inlineStr">
        <is>
          <t>IEC motor adaptor/input</t>
        </is>
      </c>
      <c r="J9" s="10" t="n">
        <v>5</v>
      </c>
      <c r="K9" s="11" t="inlineStr">
        <is>
          <t>S series (worm)</t>
        </is>
      </c>
      <c r="L9" s="12" t="inlineStr">
        <is>
          <t>SP 40  i=30  (IEC B14/B5 input flange, hollow output)</t>
        </is>
      </c>
      <c r="M9" s="13" t="inlineStr">
        <is>
          <t>— (motor power not specified in RFQ)</t>
        </is>
      </c>
      <c r="N9" s="11" t="n">
        <v>30</v>
      </c>
      <c r="O9" s="11" t="n">
        <v>47</v>
      </c>
      <c r="P9" s="11" t="n">
        <v>42</v>
      </c>
      <c r="Q9" s="13" t="inlineStr">
        <is>
          <t>P1 max 0.3 kW at Sf=1</t>
        </is>
      </c>
      <c r="R9" s="13" t="inlineStr">
        <is>
          <t>Reducer table n1=1400 rpm, Sf=1 (η 68%)</t>
        </is>
      </c>
      <c r="S9" s="13" t="inlineStr">
        <is>
          <t>Hollow shaft Ø18 H7, keyed</t>
        </is>
      </c>
      <c r="T9" s="13" t="inlineStr">
        <is>
          <t>IEC 63, 71 (B14 or B5)</t>
        </is>
      </c>
      <c r="U9" s="13" t="inlineStr">
        <is>
          <t>FR/FL output flange; TR/TL torque arm; SR/SL/SD output shaft; oil 211 synthetic VG220 if required</t>
        </is>
      </c>
      <c r="V9" s="13" t="inlineStr">
        <is>
          <t>S-IRS-IRSD 2025: ratings p.61; dims p.73-74</t>
        </is>
      </c>
      <c r="W9" s="13" t="inlineStr">
        <is>
          <t>Direct size-for-size NMRV equivalent (same centre distance and hollow bore). Ratio is a standard catalogue ratio.</t>
        </is>
      </c>
      <c r="X9" s="14" t="inlineStr">
        <is>
          <t>S/SP 40</t>
        </is>
      </c>
      <c r="Y9" s="15" t="inlineStr">
        <is>
          <t>p.55 (S series aluminium worm gear units)</t>
        </is>
      </c>
      <c r="Z9" s="15" t="inlineStr">
        <is>
          <t>YES</t>
        </is>
      </c>
      <c r="AA9" s="15" t="inlineStr">
        <is>
          <t>Gearbox with IEC input flange (SP) and hollow output shaft</t>
        </is>
      </c>
      <c r="AB9" s="16" t="n">
        <v>105</v>
      </c>
      <c r="AC9" s="17">
        <f>$J9*AB9</f>
        <v/>
      </c>
      <c r="AD9" s="18">
        <f>ROUND(AB9*(1-$L$2),2)</f>
        <v/>
      </c>
      <c r="AE9" s="18">
        <f>$J9*AD9</f>
        <v/>
      </c>
      <c r="AF9" s="19" t="n">
        <v>7</v>
      </c>
      <c r="AG9" s="20">
        <f>ROUND(AF9*(1-$L$2),2)</f>
        <v/>
      </c>
      <c r="AH9" s="19" t="n">
        <v>9</v>
      </c>
      <c r="AI9" s="20">
        <f>ROUND(AH9*(1-$L$2),2)</f>
        <v/>
      </c>
      <c r="AJ9" s="19" t="n">
        <v>8</v>
      </c>
      <c r="AK9" s="20">
        <f>ROUND(AJ9*(1-$L$2),2)</f>
        <v/>
      </c>
      <c r="AL9" s="17" t="n"/>
      <c r="AM9" s="17" t="n"/>
      <c r="AN9" s="17" t="n"/>
      <c r="AO9" s="17" t="n"/>
      <c r="AP9" s="17">
        <f>SUM(AF9,AH9,AJ9,AL9,AN9)</f>
        <v/>
      </c>
      <c r="AQ9" s="17">
        <f>SUM(AG9,AI9,AK9,AM9,AO9)</f>
        <v/>
      </c>
      <c r="AR9" s="17">
        <f>$J9*AP9</f>
        <v/>
      </c>
      <c r="AS9" s="17">
        <f>$J9*AQ9</f>
        <v/>
      </c>
      <c r="AT9" s="17">
        <f>AB9+AP9</f>
        <v/>
      </c>
      <c r="AU9" s="18">
        <f>AD9+AQ9</f>
        <v/>
      </c>
      <c r="AV9" s="17">
        <f>$J9*AT9</f>
        <v/>
      </c>
      <c r="AW9" s="18">
        <f>$J9*AU9</f>
        <v/>
      </c>
      <c r="AX9" s="21" t="inlineStr"/>
      <c r="AY9" s="22" t="n"/>
    </row>
    <row r="10">
      <c r="A10" s="10" t="inlineStr">
        <is>
          <t>GB-006</t>
        </is>
      </c>
      <c r="B10" s="10" t="inlineStr">
        <is>
          <t>Worm Gearbox</t>
        </is>
      </c>
      <c r="C10" s="10" t="inlineStr">
        <is>
          <t>NMRV</t>
        </is>
      </c>
      <c r="D10" s="10" t="inlineStr">
        <is>
          <t>040</t>
        </is>
      </c>
      <c r="E10" s="10" t="n"/>
      <c r="F10" s="10" t="inlineStr">
        <is>
          <t>1:40</t>
        </is>
      </c>
      <c r="G10" s="10" t="inlineStr">
        <is>
          <t>Universal</t>
        </is>
      </c>
      <c r="H10" s="10" t="inlineStr">
        <is>
          <t>Hollow shaft, keyed</t>
        </is>
      </c>
      <c r="I10" s="10" t="inlineStr">
        <is>
          <t>IEC motor adaptor/input</t>
        </is>
      </c>
      <c r="J10" s="10" t="n">
        <v>4</v>
      </c>
      <c r="K10" s="11" t="inlineStr">
        <is>
          <t>S series (worm)</t>
        </is>
      </c>
      <c r="L10" s="12" t="inlineStr">
        <is>
          <t>SP 40  i=40  (IEC B14/B5 input flange, hollow output)</t>
        </is>
      </c>
      <c r="M10" s="13" t="inlineStr">
        <is>
          <t>— (motor power not specified in RFQ)</t>
        </is>
      </c>
      <c r="N10" s="11" t="n">
        <v>40</v>
      </c>
      <c r="O10" s="11" t="n">
        <v>35</v>
      </c>
      <c r="P10" s="11" t="n">
        <v>39</v>
      </c>
      <c r="Q10" s="13" t="inlineStr">
        <is>
          <t>P1 max 0.22 kW at Sf=1</t>
        </is>
      </c>
      <c r="R10" s="13" t="inlineStr">
        <is>
          <t>Reducer table n1=1400 rpm, Sf=1 (η 65%)</t>
        </is>
      </c>
      <c r="S10" s="13" t="inlineStr">
        <is>
          <t>Hollow shaft Ø18 H7, keyed</t>
        </is>
      </c>
      <c r="T10" s="13" t="inlineStr">
        <is>
          <t>IEC 63, 71 (B14 or B5)</t>
        </is>
      </c>
      <c r="U10" s="13" t="inlineStr">
        <is>
          <t>FR/FL output flange; TR/TL torque arm; SR/SL/SD output shaft; oil 211 synthetic VG220 if required</t>
        </is>
      </c>
      <c r="V10" s="13" t="inlineStr">
        <is>
          <t>S-IRS-IRSD 2025: ratings p.61; dims p.73-74</t>
        </is>
      </c>
      <c r="W10" s="13" t="inlineStr">
        <is>
          <t>Direct size-for-size NMRV equivalent (same centre distance and hollow bore). Ratio is a standard catalogue ratio.</t>
        </is>
      </c>
      <c r="X10" s="14" t="inlineStr">
        <is>
          <t>S/SP 40</t>
        </is>
      </c>
      <c r="Y10" s="15" t="inlineStr">
        <is>
          <t>p.55 (S series aluminium worm gear units)</t>
        </is>
      </c>
      <c r="Z10" s="15" t="inlineStr">
        <is>
          <t>YES</t>
        </is>
      </c>
      <c r="AA10" s="15" t="inlineStr">
        <is>
          <t>Gearbox with IEC input flange (SP) and hollow output shaft</t>
        </is>
      </c>
      <c r="AB10" s="16" t="n">
        <v>105</v>
      </c>
      <c r="AC10" s="17">
        <f>$J10*AB10</f>
        <v/>
      </c>
      <c r="AD10" s="18">
        <f>ROUND(AB10*(1-$L$2),2)</f>
        <v/>
      </c>
      <c r="AE10" s="18">
        <f>$J10*AD10</f>
        <v/>
      </c>
      <c r="AF10" s="19" t="n">
        <v>7</v>
      </c>
      <c r="AG10" s="20">
        <f>ROUND(AF10*(1-$L$2),2)</f>
        <v/>
      </c>
      <c r="AH10" s="19" t="n">
        <v>9</v>
      </c>
      <c r="AI10" s="20">
        <f>ROUND(AH10*(1-$L$2),2)</f>
        <v/>
      </c>
      <c r="AJ10" s="19" t="n">
        <v>8</v>
      </c>
      <c r="AK10" s="20">
        <f>ROUND(AJ10*(1-$L$2),2)</f>
        <v/>
      </c>
      <c r="AL10" s="17" t="n"/>
      <c r="AM10" s="17" t="n"/>
      <c r="AN10" s="17" t="n"/>
      <c r="AO10" s="17" t="n"/>
      <c r="AP10" s="17">
        <f>SUM(AF10,AH10,AJ10,AL10,AN10)</f>
        <v/>
      </c>
      <c r="AQ10" s="17">
        <f>SUM(AG10,AI10,AK10,AM10,AO10)</f>
        <v/>
      </c>
      <c r="AR10" s="17">
        <f>$J10*AP10</f>
        <v/>
      </c>
      <c r="AS10" s="17">
        <f>$J10*AQ10</f>
        <v/>
      </c>
      <c r="AT10" s="17">
        <f>AB10+AP10</f>
        <v/>
      </c>
      <c r="AU10" s="18">
        <f>AD10+AQ10</f>
        <v/>
      </c>
      <c r="AV10" s="17">
        <f>$J10*AT10</f>
        <v/>
      </c>
      <c r="AW10" s="18">
        <f>$J10*AU10</f>
        <v/>
      </c>
      <c r="AX10" s="21" t="inlineStr"/>
      <c r="AY10" s="22" t="n"/>
    </row>
    <row r="11">
      <c r="A11" s="10" t="inlineStr">
        <is>
          <t>GB-007</t>
        </is>
      </c>
      <c r="B11" s="10" t="inlineStr">
        <is>
          <t>Worm Gearbox</t>
        </is>
      </c>
      <c r="C11" s="10" t="inlineStr">
        <is>
          <t>NMRV</t>
        </is>
      </c>
      <c r="D11" s="10" t="inlineStr">
        <is>
          <t>040</t>
        </is>
      </c>
      <c r="E11" s="10" t="n"/>
      <c r="F11" s="10" t="inlineStr">
        <is>
          <t>1:50</t>
        </is>
      </c>
      <c r="G11" s="10" t="inlineStr">
        <is>
          <t>Universal</t>
        </is>
      </c>
      <c r="H11" s="10" t="inlineStr">
        <is>
          <t>Hollow shaft, keyed</t>
        </is>
      </c>
      <c r="I11" s="10" t="inlineStr">
        <is>
          <t>IEC motor adaptor/input</t>
        </is>
      </c>
      <c r="J11" s="10" t="n">
        <v>4</v>
      </c>
      <c r="K11" s="11" t="inlineStr">
        <is>
          <t>S series (worm)</t>
        </is>
      </c>
      <c r="L11" s="12" t="inlineStr">
        <is>
          <t>SP 40  i=50  (IEC B14/B5 input flange, hollow output)</t>
        </is>
      </c>
      <c r="M11" s="13" t="inlineStr">
        <is>
          <t>— (motor power not specified in RFQ)</t>
        </is>
      </c>
      <c r="N11" s="11" t="n">
        <v>50</v>
      </c>
      <c r="O11" s="11" t="n">
        <v>28</v>
      </c>
      <c r="P11" s="11" t="n">
        <v>37</v>
      </c>
      <c r="Q11" s="13" t="inlineStr">
        <is>
          <t>P1 max 0.18 kW at Sf=1</t>
        </is>
      </c>
      <c r="R11" s="13" t="inlineStr">
        <is>
          <t>Reducer table n1=1400 rpm, Sf=1 (η 61%)</t>
        </is>
      </c>
      <c r="S11" s="13" t="inlineStr">
        <is>
          <t>Hollow shaft Ø18 H7, keyed</t>
        </is>
      </c>
      <c r="T11" s="13" t="inlineStr">
        <is>
          <t>IEC 63, 71 (B14 or B5)</t>
        </is>
      </c>
      <c r="U11" s="13" t="inlineStr">
        <is>
          <t>FR/FL output flange; TR/TL torque arm; SR/SL/SD output shaft; oil 211 synthetic VG220 if required</t>
        </is>
      </c>
      <c r="V11" s="13" t="inlineStr">
        <is>
          <t>S-IRS-IRSD 2025: ratings p.61; dims p.73-74</t>
        </is>
      </c>
      <c r="W11" s="13" t="inlineStr">
        <is>
          <t>Direct size-for-size NMRV equivalent (same centre distance and hollow bore). Ratio is a standard catalogue ratio.</t>
        </is>
      </c>
      <c r="X11" s="14" t="inlineStr">
        <is>
          <t>S/SP 40</t>
        </is>
      </c>
      <c r="Y11" s="15" t="inlineStr">
        <is>
          <t>p.55 (S series aluminium worm gear units)</t>
        </is>
      </c>
      <c r="Z11" s="15" t="inlineStr">
        <is>
          <t>YES</t>
        </is>
      </c>
      <c r="AA11" s="15" t="inlineStr">
        <is>
          <t>Gearbox with IEC input flange (SP) and hollow output shaft</t>
        </is>
      </c>
      <c r="AB11" s="16" t="n">
        <v>105</v>
      </c>
      <c r="AC11" s="17">
        <f>$J11*AB11</f>
        <v/>
      </c>
      <c r="AD11" s="18">
        <f>ROUND(AB11*(1-$L$2),2)</f>
        <v/>
      </c>
      <c r="AE11" s="18">
        <f>$J11*AD11</f>
        <v/>
      </c>
      <c r="AF11" s="19" t="n">
        <v>7</v>
      </c>
      <c r="AG11" s="20">
        <f>ROUND(AF11*(1-$L$2),2)</f>
        <v/>
      </c>
      <c r="AH11" s="19" t="n">
        <v>9</v>
      </c>
      <c r="AI11" s="20">
        <f>ROUND(AH11*(1-$L$2),2)</f>
        <v/>
      </c>
      <c r="AJ11" s="19" t="n">
        <v>8</v>
      </c>
      <c r="AK11" s="20">
        <f>ROUND(AJ11*(1-$L$2),2)</f>
        <v/>
      </c>
      <c r="AL11" s="17" t="n"/>
      <c r="AM11" s="17" t="n"/>
      <c r="AN11" s="17" t="n"/>
      <c r="AO11" s="17" t="n"/>
      <c r="AP11" s="17">
        <f>SUM(AF11,AH11,AJ11,AL11,AN11)</f>
        <v/>
      </c>
      <c r="AQ11" s="17">
        <f>SUM(AG11,AI11,AK11,AM11,AO11)</f>
        <v/>
      </c>
      <c r="AR11" s="17">
        <f>$J11*AP11</f>
        <v/>
      </c>
      <c r="AS11" s="17">
        <f>$J11*AQ11</f>
        <v/>
      </c>
      <c r="AT11" s="17">
        <f>AB11+AP11</f>
        <v/>
      </c>
      <c r="AU11" s="18">
        <f>AD11+AQ11</f>
        <v/>
      </c>
      <c r="AV11" s="17">
        <f>$J11*AT11</f>
        <v/>
      </c>
      <c r="AW11" s="18">
        <f>$J11*AU11</f>
        <v/>
      </c>
      <c r="AX11" s="21" t="inlineStr"/>
      <c r="AY11" s="22" t="n"/>
    </row>
    <row r="12">
      <c r="A12" s="10" t="inlineStr">
        <is>
          <t>GB-008</t>
        </is>
      </c>
      <c r="B12" s="10" t="inlineStr">
        <is>
          <t>Worm Gearbox</t>
        </is>
      </c>
      <c r="C12" s="10" t="inlineStr">
        <is>
          <t>NMRV</t>
        </is>
      </c>
      <c r="D12" s="10" t="inlineStr">
        <is>
          <t>040</t>
        </is>
      </c>
      <c r="E12" s="10" t="n"/>
      <c r="F12" s="10" t="inlineStr">
        <is>
          <t>1:60</t>
        </is>
      </c>
      <c r="G12" s="10" t="inlineStr">
        <is>
          <t>Universal</t>
        </is>
      </c>
      <c r="H12" s="10" t="inlineStr">
        <is>
          <t>Hollow shaft, keyed</t>
        </is>
      </c>
      <c r="I12" s="10" t="inlineStr">
        <is>
          <t>IEC motor adaptor/input</t>
        </is>
      </c>
      <c r="J12" s="10" t="n">
        <v>2</v>
      </c>
      <c r="K12" s="11" t="inlineStr">
        <is>
          <t>S series (worm)</t>
        </is>
      </c>
      <c r="L12" s="12" t="inlineStr">
        <is>
          <t>SP 40  i=60  (IEC B14/B5 input flange, hollow output)</t>
        </is>
      </c>
      <c r="M12" s="13" t="inlineStr">
        <is>
          <t>— (motor power not specified in RFQ)</t>
        </is>
      </c>
      <c r="N12" s="11" t="n">
        <v>60</v>
      </c>
      <c r="O12" s="11" t="n">
        <v>23</v>
      </c>
      <c r="P12" s="11" t="n">
        <v>32</v>
      </c>
      <c r="Q12" s="13" t="inlineStr">
        <is>
          <t>P1 max 0.14 kW at Sf=1</t>
        </is>
      </c>
      <c r="R12" s="13" t="inlineStr">
        <is>
          <t>Reducer table n1=1400 rpm, Sf=1 (η 55%)</t>
        </is>
      </c>
      <c r="S12" s="13" t="inlineStr">
        <is>
          <t>Hollow shaft Ø18 H7, keyed</t>
        </is>
      </c>
      <c r="T12" s="13" t="inlineStr">
        <is>
          <t>IEC 63, 71 (B14 or B5)</t>
        </is>
      </c>
      <c r="U12" s="13" t="inlineStr">
        <is>
          <t>FR/FL output flange; TR/TL torque arm; SR/SL/SD output shaft; oil 211 synthetic VG220 if required</t>
        </is>
      </c>
      <c r="V12" s="13" t="inlineStr">
        <is>
          <t>S-IRS-IRSD 2025: ratings p.61; dims p.73-74</t>
        </is>
      </c>
      <c r="W12" s="13" t="inlineStr">
        <is>
          <t>Direct size-for-size NMRV equivalent (same centre distance and hollow bore). Ratio is a standard catalogue ratio.</t>
        </is>
      </c>
      <c r="X12" s="14" t="inlineStr">
        <is>
          <t>S/SP 40</t>
        </is>
      </c>
      <c r="Y12" s="15" t="inlineStr">
        <is>
          <t>p.55 (S series aluminium worm gear units)</t>
        </is>
      </c>
      <c r="Z12" s="15" t="inlineStr">
        <is>
          <t>YES</t>
        </is>
      </c>
      <c r="AA12" s="15" t="inlineStr">
        <is>
          <t>Gearbox with IEC input flange (SP) and hollow output shaft</t>
        </is>
      </c>
      <c r="AB12" s="16" t="n">
        <v>105</v>
      </c>
      <c r="AC12" s="17">
        <f>$J12*AB12</f>
        <v/>
      </c>
      <c r="AD12" s="18">
        <f>ROUND(AB12*(1-$L$2),2)</f>
        <v/>
      </c>
      <c r="AE12" s="18">
        <f>$J12*AD12</f>
        <v/>
      </c>
      <c r="AF12" s="19" t="n">
        <v>7</v>
      </c>
      <c r="AG12" s="20">
        <f>ROUND(AF12*(1-$L$2),2)</f>
        <v/>
      </c>
      <c r="AH12" s="19" t="n">
        <v>9</v>
      </c>
      <c r="AI12" s="20">
        <f>ROUND(AH12*(1-$L$2),2)</f>
        <v/>
      </c>
      <c r="AJ12" s="19" t="n">
        <v>8</v>
      </c>
      <c r="AK12" s="20">
        <f>ROUND(AJ12*(1-$L$2),2)</f>
        <v/>
      </c>
      <c r="AL12" s="17" t="n"/>
      <c r="AM12" s="17" t="n"/>
      <c r="AN12" s="17" t="n"/>
      <c r="AO12" s="17" t="n"/>
      <c r="AP12" s="17">
        <f>SUM(AF12,AH12,AJ12,AL12,AN12)</f>
        <v/>
      </c>
      <c r="AQ12" s="17">
        <f>SUM(AG12,AI12,AK12,AM12,AO12)</f>
        <v/>
      </c>
      <c r="AR12" s="17">
        <f>$J12*AP12</f>
        <v/>
      </c>
      <c r="AS12" s="17">
        <f>$J12*AQ12</f>
        <v/>
      </c>
      <c r="AT12" s="17">
        <f>AB12+AP12</f>
        <v/>
      </c>
      <c r="AU12" s="18">
        <f>AD12+AQ12</f>
        <v/>
      </c>
      <c r="AV12" s="17">
        <f>$J12*AT12</f>
        <v/>
      </c>
      <c r="AW12" s="18">
        <f>$J12*AU12</f>
        <v/>
      </c>
      <c r="AX12" s="21" t="inlineStr"/>
      <c r="AY12" s="22" t="n"/>
    </row>
    <row r="13">
      <c r="A13" s="10" t="inlineStr">
        <is>
          <t>GB-009</t>
        </is>
      </c>
      <c r="B13" s="10" t="inlineStr">
        <is>
          <t>Worm Gearbox</t>
        </is>
      </c>
      <c r="C13" s="10" t="inlineStr">
        <is>
          <t>NMRV</t>
        </is>
      </c>
      <c r="D13" s="10" t="inlineStr">
        <is>
          <t>050</t>
        </is>
      </c>
      <c r="E13" s="10" t="n"/>
      <c r="F13" s="10" t="inlineStr">
        <is>
          <t>1:10</t>
        </is>
      </c>
      <c r="G13" s="10" t="inlineStr">
        <is>
          <t>Universal</t>
        </is>
      </c>
      <c r="H13" s="10" t="inlineStr">
        <is>
          <t>Hollow shaft, keyed</t>
        </is>
      </c>
      <c r="I13" s="10" t="inlineStr">
        <is>
          <t>IEC motor adaptor/input</t>
        </is>
      </c>
      <c r="J13" s="10" t="n">
        <v>6</v>
      </c>
      <c r="K13" s="11" t="inlineStr">
        <is>
          <t>S series (worm)</t>
        </is>
      </c>
      <c r="L13" s="12" t="inlineStr">
        <is>
          <t>SP 50  i=10  (IEC B14/B5 input flange, hollow output)</t>
        </is>
      </c>
      <c r="M13" s="13" t="inlineStr">
        <is>
          <t>— (motor power not specified in RFQ)</t>
        </is>
      </c>
      <c r="N13" s="11" t="n">
        <v>10</v>
      </c>
      <c r="O13" s="11" t="n">
        <v>140</v>
      </c>
      <c r="P13" s="11" t="n">
        <v>62</v>
      </c>
      <c r="Q13" s="13" t="inlineStr">
        <is>
          <t>P1 max 1.11 kW at Sf=1</t>
        </is>
      </c>
      <c r="R13" s="13" t="inlineStr">
        <is>
          <t>Reducer table n1=1400 rpm, Sf=1 (η 82%)</t>
        </is>
      </c>
      <c r="S13" s="13" t="inlineStr">
        <is>
          <t>Hollow shaft Ø25 H7, keyed</t>
        </is>
      </c>
      <c r="T13" s="13" t="inlineStr">
        <is>
          <t>IEC 63, 71, 80 (B14 or B5)</t>
        </is>
      </c>
      <c r="U13" s="13" t="inlineStr">
        <is>
          <t>FR/FL output flange; TR/TL torque arm; SR/SL/SD output shaft; oil 211 synthetic VG220 if required</t>
        </is>
      </c>
      <c r="V13" s="13" t="inlineStr">
        <is>
          <t>S-IRS-IRSD 2025: ratings p.61; dims p.75-76</t>
        </is>
      </c>
      <c r="W13" s="13" t="inlineStr">
        <is>
          <t>Direct size-for-size NMRV equivalent (same centre distance and hollow bore). Ratio is a standard catalogue ratio.</t>
        </is>
      </c>
      <c r="X13" s="14" t="inlineStr">
        <is>
          <t>S/SP 50</t>
        </is>
      </c>
      <c r="Y13" s="15" t="inlineStr">
        <is>
          <t>p.55 (S series aluminium worm gear units)</t>
        </is>
      </c>
      <c r="Z13" s="15" t="inlineStr">
        <is>
          <t>YES</t>
        </is>
      </c>
      <c r="AA13" s="15" t="inlineStr">
        <is>
          <t>Gearbox with IEC input flange (SP) and hollow output shaft</t>
        </is>
      </c>
      <c r="AB13" s="16" t="n">
        <v>129</v>
      </c>
      <c r="AC13" s="17">
        <f>$J13*AB13</f>
        <v/>
      </c>
      <c r="AD13" s="18">
        <f>ROUND(AB13*(1-$L$2),2)</f>
        <v/>
      </c>
      <c r="AE13" s="18">
        <f>$J13*AD13</f>
        <v/>
      </c>
      <c r="AF13" s="19" t="n">
        <v>8</v>
      </c>
      <c r="AG13" s="20">
        <f>ROUND(AF13*(1-$L$2),2)</f>
        <v/>
      </c>
      <c r="AH13" s="19" t="n">
        <v>11</v>
      </c>
      <c r="AI13" s="20">
        <f>ROUND(AH13*(1-$L$2),2)</f>
        <v/>
      </c>
      <c r="AJ13" s="19" t="n">
        <v>9</v>
      </c>
      <c r="AK13" s="20">
        <f>ROUND(AJ13*(1-$L$2),2)</f>
        <v/>
      </c>
      <c r="AL13" s="17" t="n"/>
      <c r="AM13" s="17" t="n"/>
      <c r="AN13" s="17" t="n"/>
      <c r="AO13" s="17" t="n"/>
      <c r="AP13" s="17">
        <f>SUM(AF13,AH13,AJ13,AL13,AN13)</f>
        <v/>
      </c>
      <c r="AQ13" s="17">
        <f>SUM(AG13,AI13,AK13,AM13,AO13)</f>
        <v/>
      </c>
      <c r="AR13" s="17">
        <f>$J13*AP13</f>
        <v/>
      </c>
      <c r="AS13" s="17">
        <f>$J13*AQ13</f>
        <v/>
      </c>
      <c r="AT13" s="17">
        <f>AB13+AP13</f>
        <v/>
      </c>
      <c r="AU13" s="18">
        <f>AD13+AQ13</f>
        <v/>
      </c>
      <c r="AV13" s="17">
        <f>$J13*AT13</f>
        <v/>
      </c>
      <c r="AW13" s="18">
        <f>$J13*AU13</f>
        <v/>
      </c>
      <c r="AX13" s="21" t="inlineStr"/>
      <c r="AY13" s="22" t="n"/>
    </row>
    <row r="14">
      <c r="A14" s="10" t="inlineStr">
        <is>
          <t>GB-010</t>
        </is>
      </c>
      <c r="B14" s="10" t="inlineStr">
        <is>
          <t>Worm Gearbox</t>
        </is>
      </c>
      <c r="C14" s="10" t="inlineStr">
        <is>
          <t>NMRV</t>
        </is>
      </c>
      <c r="D14" s="10" t="inlineStr">
        <is>
          <t>050</t>
        </is>
      </c>
      <c r="E14" s="10" t="n"/>
      <c r="F14" s="10" t="inlineStr">
        <is>
          <t>1:15</t>
        </is>
      </c>
      <c r="G14" s="10" t="inlineStr">
        <is>
          <t>Universal</t>
        </is>
      </c>
      <c r="H14" s="10" t="inlineStr">
        <is>
          <t>Hollow shaft, keyed</t>
        </is>
      </c>
      <c r="I14" s="10" t="inlineStr">
        <is>
          <t>IEC motor adaptor/input</t>
        </is>
      </c>
      <c r="J14" s="10" t="n">
        <v>5</v>
      </c>
      <c r="K14" s="11" t="inlineStr">
        <is>
          <t>S series (worm)</t>
        </is>
      </c>
      <c r="L14" s="12" t="inlineStr">
        <is>
          <t>SP 50  i=15  (IEC B14/B5 input flange, hollow output)</t>
        </is>
      </c>
      <c r="M14" s="13" t="inlineStr">
        <is>
          <t>— (motor power not specified in RFQ)</t>
        </is>
      </c>
      <c r="N14" s="11" t="n">
        <v>15</v>
      </c>
      <c r="O14" s="11" t="n">
        <v>93</v>
      </c>
      <c r="P14" s="11" t="n">
        <v>69</v>
      </c>
      <c r="Q14" s="13" t="inlineStr">
        <is>
          <t>P1 max 0.85 kW at Sf=1</t>
        </is>
      </c>
      <c r="R14" s="13" t="inlineStr">
        <is>
          <t>Reducer table n1=1400 rpm, Sf=1 (η 79%)</t>
        </is>
      </c>
      <c r="S14" s="13" t="inlineStr">
        <is>
          <t>Hollow shaft Ø25 H7, keyed</t>
        </is>
      </c>
      <c r="T14" s="13" t="inlineStr">
        <is>
          <t>IEC 63, 71, 80 (B14 or B5)</t>
        </is>
      </c>
      <c r="U14" s="13" t="inlineStr">
        <is>
          <t>FR/FL output flange; TR/TL torque arm; SR/SL/SD output shaft; oil 211 synthetic VG220 if required</t>
        </is>
      </c>
      <c r="V14" s="13" t="inlineStr">
        <is>
          <t>S-IRS-IRSD 2025: ratings p.61; dims p.75-76</t>
        </is>
      </c>
      <c r="W14" s="13" t="inlineStr">
        <is>
          <t>Direct size-for-size NMRV equivalent (same centre distance and hollow bore). Ratio is a standard catalogue ratio.</t>
        </is>
      </c>
      <c r="X14" s="14" t="inlineStr">
        <is>
          <t>S/SP 50</t>
        </is>
      </c>
      <c r="Y14" s="15" t="inlineStr">
        <is>
          <t>p.55 (S series aluminium worm gear units)</t>
        </is>
      </c>
      <c r="Z14" s="15" t="inlineStr">
        <is>
          <t>YES</t>
        </is>
      </c>
      <c r="AA14" s="15" t="inlineStr">
        <is>
          <t>Gearbox with IEC input flange (SP) and hollow output shaft</t>
        </is>
      </c>
      <c r="AB14" s="16" t="n">
        <v>129</v>
      </c>
      <c r="AC14" s="17">
        <f>$J14*AB14</f>
        <v/>
      </c>
      <c r="AD14" s="18">
        <f>ROUND(AB14*(1-$L$2),2)</f>
        <v/>
      </c>
      <c r="AE14" s="18">
        <f>$J14*AD14</f>
        <v/>
      </c>
      <c r="AF14" s="19" t="n">
        <v>8</v>
      </c>
      <c r="AG14" s="20">
        <f>ROUND(AF14*(1-$L$2),2)</f>
        <v/>
      </c>
      <c r="AH14" s="19" t="n">
        <v>11</v>
      </c>
      <c r="AI14" s="20">
        <f>ROUND(AH14*(1-$L$2),2)</f>
        <v/>
      </c>
      <c r="AJ14" s="19" t="n">
        <v>9</v>
      </c>
      <c r="AK14" s="20">
        <f>ROUND(AJ14*(1-$L$2),2)</f>
        <v/>
      </c>
      <c r="AL14" s="17" t="n"/>
      <c r="AM14" s="17" t="n"/>
      <c r="AN14" s="17" t="n"/>
      <c r="AO14" s="17" t="n"/>
      <c r="AP14" s="17">
        <f>SUM(AF14,AH14,AJ14,AL14,AN14)</f>
        <v/>
      </c>
      <c r="AQ14" s="17">
        <f>SUM(AG14,AI14,AK14,AM14,AO14)</f>
        <v/>
      </c>
      <c r="AR14" s="17">
        <f>$J14*AP14</f>
        <v/>
      </c>
      <c r="AS14" s="17">
        <f>$J14*AQ14</f>
        <v/>
      </c>
      <c r="AT14" s="17">
        <f>AB14+AP14</f>
        <v/>
      </c>
      <c r="AU14" s="18">
        <f>AD14+AQ14</f>
        <v/>
      </c>
      <c r="AV14" s="17">
        <f>$J14*AT14</f>
        <v/>
      </c>
      <c r="AW14" s="18">
        <f>$J14*AU14</f>
        <v/>
      </c>
      <c r="AX14" s="21" t="inlineStr"/>
      <c r="AY14" s="22" t="n"/>
    </row>
    <row r="15">
      <c r="A15" s="10" t="inlineStr">
        <is>
          <t>GB-011</t>
        </is>
      </c>
      <c r="B15" s="10" t="inlineStr">
        <is>
          <t>Worm Gearbox</t>
        </is>
      </c>
      <c r="C15" s="10" t="inlineStr">
        <is>
          <t>NMRV</t>
        </is>
      </c>
      <c r="D15" s="10" t="inlineStr">
        <is>
          <t>050</t>
        </is>
      </c>
      <c r="E15" s="10" t="n"/>
      <c r="F15" s="10" t="inlineStr">
        <is>
          <t>1:20</t>
        </is>
      </c>
      <c r="G15" s="10" t="inlineStr">
        <is>
          <t>Universal</t>
        </is>
      </c>
      <c r="H15" s="10" t="inlineStr">
        <is>
          <t>Hollow shaft, keyed</t>
        </is>
      </c>
      <c r="I15" s="10" t="inlineStr">
        <is>
          <t>IEC motor adaptor/input</t>
        </is>
      </c>
      <c r="J15" s="10" t="n">
        <v>6</v>
      </c>
      <c r="K15" s="11" t="inlineStr">
        <is>
          <t>S series (worm)</t>
        </is>
      </c>
      <c r="L15" s="12" t="inlineStr">
        <is>
          <t>SP 50  i=20  (IEC B14/B5 input flange, hollow output)</t>
        </is>
      </c>
      <c r="M15" s="13" t="inlineStr">
        <is>
          <t>— (motor power not specified in RFQ)</t>
        </is>
      </c>
      <c r="N15" s="11" t="n">
        <v>20</v>
      </c>
      <c r="O15" s="11" t="n">
        <v>70</v>
      </c>
      <c r="P15" s="11" t="n">
        <v>65</v>
      </c>
      <c r="Q15" s="13" t="inlineStr">
        <is>
          <t>P1 max 0.64 kW at Sf=1</t>
        </is>
      </c>
      <c r="R15" s="13" t="inlineStr">
        <is>
          <t>Reducer table n1=1400 rpm, Sf=1 (η 74%)</t>
        </is>
      </c>
      <c r="S15" s="13" t="inlineStr">
        <is>
          <t>Hollow shaft Ø25 H7, keyed</t>
        </is>
      </c>
      <c r="T15" s="13" t="inlineStr">
        <is>
          <t>IEC 63, 71, 80 (B14 or B5)</t>
        </is>
      </c>
      <c r="U15" s="13" t="inlineStr">
        <is>
          <t>FR/FL output flange; TR/TL torque arm; SR/SL/SD output shaft; oil 211 synthetic VG220 if required</t>
        </is>
      </c>
      <c r="V15" s="13" t="inlineStr">
        <is>
          <t>S-IRS-IRSD 2025: ratings p.61; dims p.75-76</t>
        </is>
      </c>
      <c r="W15" s="13" t="inlineStr">
        <is>
          <t>Direct size-for-size NMRV equivalent (same centre distance and hollow bore). Ratio is a standard catalogue ratio.</t>
        </is>
      </c>
      <c r="X15" s="14" t="inlineStr">
        <is>
          <t>S/SP 50</t>
        </is>
      </c>
      <c r="Y15" s="15" t="inlineStr">
        <is>
          <t>p.55 (S series aluminium worm gear units)</t>
        </is>
      </c>
      <c r="Z15" s="15" t="inlineStr">
        <is>
          <t>YES</t>
        </is>
      </c>
      <c r="AA15" s="15" t="inlineStr">
        <is>
          <t>Gearbox with IEC input flange (SP) and hollow output shaft</t>
        </is>
      </c>
      <c r="AB15" s="16" t="n">
        <v>129</v>
      </c>
      <c r="AC15" s="17">
        <f>$J15*AB15</f>
        <v/>
      </c>
      <c r="AD15" s="18">
        <f>ROUND(AB15*(1-$L$2),2)</f>
        <v/>
      </c>
      <c r="AE15" s="18">
        <f>$J15*AD15</f>
        <v/>
      </c>
      <c r="AF15" s="19" t="n">
        <v>8</v>
      </c>
      <c r="AG15" s="20">
        <f>ROUND(AF15*(1-$L$2),2)</f>
        <v/>
      </c>
      <c r="AH15" s="19" t="n">
        <v>11</v>
      </c>
      <c r="AI15" s="20">
        <f>ROUND(AH15*(1-$L$2),2)</f>
        <v/>
      </c>
      <c r="AJ15" s="19" t="n">
        <v>9</v>
      </c>
      <c r="AK15" s="20">
        <f>ROUND(AJ15*(1-$L$2),2)</f>
        <v/>
      </c>
      <c r="AL15" s="17" t="n"/>
      <c r="AM15" s="17" t="n"/>
      <c r="AN15" s="17" t="n"/>
      <c r="AO15" s="17" t="n"/>
      <c r="AP15" s="17">
        <f>SUM(AF15,AH15,AJ15,AL15,AN15)</f>
        <v/>
      </c>
      <c r="AQ15" s="17">
        <f>SUM(AG15,AI15,AK15,AM15,AO15)</f>
        <v/>
      </c>
      <c r="AR15" s="17">
        <f>$J15*AP15</f>
        <v/>
      </c>
      <c r="AS15" s="17">
        <f>$J15*AQ15</f>
        <v/>
      </c>
      <c r="AT15" s="17">
        <f>AB15+AP15</f>
        <v/>
      </c>
      <c r="AU15" s="18">
        <f>AD15+AQ15</f>
        <v/>
      </c>
      <c r="AV15" s="17">
        <f>$J15*AT15</f>
        <v/>
      </c>
      <c r="AW15" s="18">
        <f>$J15*AU15</f>
        <v/>
      </c>
      <c r="AX15" s="21" t="inlineStr"/>
      <c r="AY15" s="22" t="n"/>
    </row>
    <row r="16">
      <c r="A16" s="10" t="inlineStr">
        <is>
          <t>GB-012</t>
        </is>
      </c>
      <c r="B16" s="10" t="inlineStr">
        <is>
          <t>Worm Gearbox</t>
        </is>
      </c>
      <c r="C16" s="10" t="inlineStr">
        <is>
          <t>NMRV</t>
        </is>
      </c>
      <c r="D16" s="10" t="inlineStr">
        <is>
          <t>050</t>
        </is>
      </c>
      <c r="E16" s="10" t="n"/>
      <c r="F16" s="10" t="inlineStr">
        <is>
          <t>1:25</t>
        </is>
      </c>
      <c r="G16" s="10" t="inlineStr">
        <is>
          <t>Universal</t>
        </is>
      </c>
      <c r="H16" s="10" t="inlineStr">
        <is>
          <t>Hollow shaft, keyed</t>
        </is>
      </c>
      <c r="I16" s="10" t="inlineStr">
        <is>
          <t>IEC motor adaptor/input</t>
        </is>
      </c>
      <c r="J16" s="10" t="n">
        <v>4</v>
      </c>
      <c r="K16" s="11" t="inlineStr">
        <is>
          <t>S series (worm)</t>
        </is>
      </c>
      <c r="L16" s="12" t="inlineStr">
        <is>
          <t>SP 50  i=25  (IEC B14/B5 input flange, hollow output)</t>
        </is>
      </c>
      <c r="M16" s="13" t="inlineStr">
        <is>
          <t>— (motor power not specified in RFQ)</t>
        </is>
      </c>
      <c r="N16" s="11" t="n">
        <v>25</v>
      </c>
      <c r="O16" s="11" t="n">
        <v>56</v>
      </c>
      <c r="P16" s="11" t="n">
        <v>61</v>
      </c>
      <c r="Q16" s="13" t="inlineStr">
        <is>
          <t>P1 max 0.5 kW at Sf=1</t>
        </is>
      </c>
      <c r="R16" s="13" t="inlineStr">
        <is>
          <t>Reducer table n1=1400 rpm, Sf=1 (η 71%)</t>
        </is>
      </c>
      <c r="S16" s="13" t="inlineStr">
        <is>
          <t>Hollow shaft Ø25 H7, keyed</t>
        </is>
      </c>
      <c r="T16" s="13" t="inlineStr">
        <is>
          <t>IEC 63, 71, 80 (B14 or B5)</t>
        </is>
      </c>
      <c r="U16" s="13" t="inlineStr">
        <is>
          <t>FR/FL output flange; TR/TL torque arm; SR/SL/SD output shaft; oil 211 synthetic VG220 if required</t>
        </is>
      </c>
      <c r="V16" s="13" t="inlineStr">
        <is>
          <t>S-IRS-IRSD 2025: ratings p.61; dims p.75-76</t>
        </is>
      </c>
      <c r="W16" s="13" t="inlineStr">
        <is>
          <t>Direct size-for-size NMRV equivalent (same centre distance and hollow bore). Ratio is a standard catalogue ratio.</t>
        </is>
      </c>
      <c r="X16" s="14" t="inlineStr">
        <is>
          <t>S/SP 50</t>
        </is>
      </c>
      <c r="Y16" s="15" t="inlineStr">
        <is>
          <t>p.55 (S series aluminium worm gear units)</t>
        </is>
      </c>
      <c r="Z16" s="15" t="inlineStr">
        <is>
          <t>YES</t>
        </is>
      </c>
      <c r="AA16" s="15" t="inlineStr">
        <is>
          <t>Gearbox with IEC input flange (SP) and hollow output shaft</t>
        </is>
      </c>
      <c r="AB16" s="16" t="n">
        <v>129</v>
      </c>
      <c r="AC16" s="17">
        <f>$J16*AB16</f>
        <v/>
      </c>
      <c r="AD16" s="18">
        <f>ROUND(AB16*(1-$L$2),2)</f>
        <v/>
      </c>
      <c r="AE16" s="18">
        <f>$J16*AD16</f>
        <v/>
      </c>
      <c r="AF16" s="19" t="n">
        <v>8</v>
      </c>
      <c r="AG16" s="20">
        <f>ROUND(AF16*(1-$L$2),2)</f>
        <v/>
      </c>
      <c r="AH16" s="19" t="n">
        <v>11</v>
      </c>
      <c r="AI16" s="20">
        <f>ROUND(AH16*(1-$L$2),2)</f>
        <v/>
      </c>
      <c r="AJ16" s="19" t="n">
        <v>9</v>
      </c>
      <c r="AK16" s="20">
        <f>ROUND(AJ16*(1-$L$2),2)</f>
        <v/>
      </c>
      <c r="AL16" s="17" t="n"/>
      <c r="AM16" s="17" t="n"/>
      <c r="AN16" s="17" t="n"/>
      <c r="AO16" s="17" t="n"/>
      <c r="AP16" s="17">
        <f>SUM(AF16,AH16,AJ16,AL16,AN16)</f>
        <v/>
      </c>
      <c r="AQ16" s="17">
        <f>SUM(AG16,AI16,AK16,AM16,AO16)</f>
        <v/>
      </c>
      <c r="AR16" s="17">
        <f>$J16*AP16</f>
        <v/>
      </c>
      <c r="AS16" s="17">
        <f>$J16*AQ16</f>
        <v/>
      </c>
      <c r="AT16" s="17">
        <f>AB16+AP16</f>
        <v/>
      </c>
      <c r="AU16" s="18">
        <f>AD16+AQ16</f>
        <v/>
      </c>
      <c r="AV16" s="17">
        <f>$J16*AT16</f>
        <v/>
      </c>
      <c r="AW16" s="18">
        <f>$J16*AU16</f>
        <v/>
      </c>
      <c r="AX16" s="21" t="inlineStr"/>
      <c r="AY16" s="22" t="n"/>
    </row>
    <row r="17">
      <c r="A17" s="10" t="inlineStr">
        <is>
          <t>GB-013</t>
        </is>
      </c>
      <c r="B17" s="10" t="inlineStr">
        <is>
          <t>Worm Gearbox</t>
        </is>
      </c>
      <c r="C17" s="10" t="inlineStr">
        <is>
          <t>NMRV</t>
        </is>
      </c>
      <c r="D17" s="10" t="inlineStr">
        <is>
          <t>050</t>
        </is>
      </c>
      <c r="E17" s="10" t="n"/>
      <c r="F17" s="10" t="inlineStr">
        <is>
          <t>1:30</t>
        </is>
      </c>
      <c r="G17" s="10" t="inlineStr">
        <is>
          <t>Universal</t>
        </is>
      </c>
      <c r="H17" s="10" t="inlineStr">
        <is>
          <t>Hollow shaft, keyed</t>
        </is>
      </c>
      <c r="I17" s="10" t="inlineStr">
        <is>
          <t>IEC motor adaptor/input</t>
        </is>
      </c>
      <c r="J17" s="10" t="n">
        <v>5</v>
      </c>
      <c r="K17" s="11" t="inlineStr">
        <is>
          <t>S series (worm)</t>
        </is>
      </c>
      <c r="L17" s="12" t="inlineStr">
        <is>
          <t>SP 50  i=30  (IEC B14/B5 input flange, hollow output)</t>
        </is>
      </c>
      <c r="M17" s="13" t="inlineStr">
        <is>
          <t>— (motor power not specified in RFQ)</t>
        </is>
      </c>
      <c r="N17" s="11" t="n">
        <v>30</v>
      </c>
      <c r="O17" s="11" t="n">
        <v>47</v>
      </c>
      <c r="P17" s="11" t="n">
        <v>70</v>
      </c>
      <c r="Q17" s="13" t="inlineStr">
        <is>
          <t>P1 max 0.5 kW at Sf=1</t>
        </is>
      </c>
      <c r="R17" s="13" t="inlineStr">
        <is>
          <t>Reducer table n1=1400 rpm, Sf=1 (η 68%)</t>
        </is>
      </c>
      <c r="S17" s="13" t="inlineStr">
        <is>
          <t>Hollow shaft Ø25 H7, keyed</t>
        </is>
      </c>
      <c r="T17" s="13" t="inlineStr">
        <is>
          <t>IEC 63, 71, 80 (B14 or B5)</t>
        </is>
      </c>
      <c r="U17" s="13" t="inlineStr">
        <is>
          <t>FR/FL output flange; TR/TL torque arm; SR/SL/SD output shaft; oil 211 synthetic VG220 if required</t>
        </is>
      </c>
      <c r="V17" s="13" t="inlineStr">
        <is>
          <t>S-IRS-IRSD 2025: ratings p.61; dims p.75-76</t>
        </is>
      </c>
      <c r="W17" s="13" t="inlineStr">
        <is>
          <t>Direct size-for-size NMRV equivalent (same centre distance and hollow bore). Ratio is a standard catalogue ratio.</t>
        </is>
      </c>
      <c r="X17" s="14" t="inlineStr">
        <is>
          <t>S/SP 50</t>
        </is>
      </c>
      <c r="Y17" s="15" t="inlineStr">
        <is>
          <t>p.55 (S series aluminium worm gear units)</t>
        </is>
      </c>
      <c r="Z17" s="15" t="inlineStr">
        <is>
          <t>YES</t>
        </is>
      </c>
      <c r="AA17" s="15" t="inlineStr">
        <is>
          <t>Gearbox with IEC input flange (SP) and hollow output shaft</t>
        </is>
      </c>
      <c r="AB17" s="16" t="n">
        <v>129</v>
      </c>
      <c r="AC17" s="17">
        <f>$J17*AB17</f>
        <v/>
      </c>
      <c r="AD17" s="18">
        <f>ROUND(AB17*(1-$L$2),2)</f>
        <v/>
      </c>
      <c r="AE17" s="18">
        <f>$J17*AD17</f>
        <v/>
      </c>
      <c r="AF17" s="19" t="n">
        <v>8</v>
      </c>
      <c r="AG17" s="20">
        <f>ROUND(AF17*(1-$L$2),2)</f>
        <v/>
      </c>
      <c r="AH17" s="19" t="n">
        <v>11</v>
      </c>
      <c r="AI17" s="20">
        <f>ROUND(AH17*(1-$L$2),2)</f>
        <v/>
      </c>
      <c r="AJ17" s="19" t="n">
        <v>9</v>
      </c>
      <c r="AK17" s="20">
        <f>ROUND(AJ17*(1-$L$2),2)</f>
        <v/>
      </c>
      <c r="AL17" s="17" t="n"/>
      <c r="AM17" s="17" t="n"/>
      <c r="AN17" s="17" t="n"/>
      <c r="AO17" s="17" t="n"/>
      <c r="AP17" s="17">
        <f>SUM(AF17,AH17,AJ17,AL17,AN17)</f>
        <v/>
      </c>
      <c r="AQ17" s="17">
        <f>SUM(AG17,AI17,AK17,AM17,AO17)</f>
        <v/>
      </c>
      <c r="AR17" s="17">
        <f>$J17*AP17</f>
        <v/>
      </c>
      <c r="AS17" s="17">
        <f>$J17*AQ17</f>
        <v/>
      </c>
      <c r="AT17" s="17">
        <f>AB17+AP17</f>
        <v/>
      </c>
      <c r="AU17" s="18">
        <f>AD17+AQ17</f>
        <v/>
      </c>
      <c r="AV17" s="17">
        <f>$J17*AT17</f>
        <v/>
      </c>
      <c r="AW17" s="18">
        <f>$J17*AU17</f>
        <v/>
      </c>
      <c r="AX17" s="21" t="inlineStr"/>
      <c r="AY17" s="22" t="n"/>
    </row>
    <row r="18">
      <c r="A18" s="10" t="inlineStr">
        <is>
          <t>GB-014</t>
        </is>
      </c>
      <c r="B18" s="10" t="inlineStr">
        <is>
          <t>Worm Gearbox</t>
        </is>
      </c>
      <c r="C18" s="10" t="inlineStr">
        <is>
          <t>NMRV</t>
        </is>
      </c>
      <c r="D18" s="10" t="inlineStr">
        <is>
          <t>050</t>
        </is>
      </c>
      <c r="E18" s="10" t="n"/>
      <c r="F18" s="10" t="inlineStr">
        <is>
          <t>1:40</t>
        </is>
      </c>
      <c r="G18" s="10" t="inlineStr">
        <is>
          <t>Universal</t>
        </is>
      </c>
      <c r="H18" s="10" t="inlineStr">
        <is>
          <t>Hollow shaft, keyed</t>
        </is>
      </c>
      <c r="I18" s="10" t="inlineStr">
        <is>
          <t>IEC motor adaptor/input</t>
        </is>
      </c>
      <c r="J18" s="10" t="n">
        <v>4</v>
      </c>
      <c r="K18" s="11" t="inlineStr">
        <is>
          <t>S series (worm)</t>
        </is>
      </c>
      <c r="L18" s="12" t="inlineStr">
        <is>
          <t>SP 50  i=40  (IEC B14/B5 input flange, hollow output)</t>
        </is>
      </c>
      <c r="M18" s="13" t="inlineStr">
        <is>
          <t>— (motor power not specified in RFQ)</t>
        </is>
      </c>
      <c r="N18" s="11" t="n">
        <v>40</v>
      </c>
      <c r="O18" s="11" t="n">
        <v>35</v>
      </c>
      <c r="P18" s="11" t="n">
        <v>71</v>
      </c>
      <c r="Q18" s="13" t="inlineStr">
        <is>
          <t>P1 max 0.4 kW at Sf=1</t>
        </is>
      </c>
      <c r="R18" s="13" t="inlineStr">
        <is>
          <t>Reducer table n1=1400 rpm, Sf=1 (η 65%)</t>
        </is>
      </c>
      <c r="S18" s="13" t="inlineStr">
        <is>
          <t>Hollow shaft Ø25 H7, keyed</t>
        </is>
      </c>
      <c r="T18" s="13" t="inlineStr">
        <is>
          <t>IEC 63, 71, 80 (B14 or B5)</t>
        </is>
      </c>
      <c r="U18" s="13" t="inlineStr">
        <is>
          <t>FR/FL output flange; TR/TL torque arm; SR/SL/SD output shaft; oil 211 synthetic VG220 if required</t>
        </is>
      </c>
      <c r="V18" s="13" t="inlineStr">
        <is>
          <t>S-IRS-IRSD 2025: ratings p.61; dims p.75-76</t>
        </is>
      </c>
      <c r="W18" s="13" t="inlineStr">
        <is>
          <t>Direct size-for-size NMRV equivalent (same centre distance and hollow bore). Ratio is a standard catalogue ratio.</t>
        </is>
      </c>
      <c r="X18" s="14" t="inlineStr">
        <is>
          <t>S/SP 50</t>
        </is>
      </c>
      <c r="Y18" s="15" t="inlineStr">
        <is>
          <t>p.55 (S series aluminium worm gear units)</t>
        </is>
      </c>
      <c r="Z18" s="15" t="inlineStr">
        <is>
          <t>YES</t>
        </is>
      </c>
      <c r="AA18" s="15" t="inlineStr">
        <is>
          <t>Gearbox with IEC input flange (SP) and hollow output shaft</t>
        </is>
      </c>
      <c r="AB18" s="16" t="n">
        <v>129</v>
      </c>
      <c r="AC18" s="17">
        <f>$J18*AB18</f>
        <v/>
      </c>
      <c r="AD18" s="18">
        <f>ROUND(AB18*(1-$L$2),2)</f>
        <v/>
      </c>
      <c r="AE18" s="18">
        <f>$J18*AD18</f>
        <v/>
      </c>
      <c r="AF18" s="19" t="n">
        <v>8</v>
      </c>
      <c r="AG18" s="20">
        <f>ROUND(AF18*(1-$L$2),2)</f>
        <v/>
      </c>
      <c r="AH18" s="19" t="n">
        <v>11</v>
      </c>
      <c r="AI18" s="20">
        <f>ROUND(AH18*(1-$L$2),2)</f>
        <v/>
      </c>
      <c r="AJ18" s="19" t="n">
        <v>9</v>
      </c>
      <c r="AK18" s="20">
        <f>ROUND(AJ18*(1-$L$2),2)</f>
        <v/>
      </c>
      <c r="AL18" s="17" t="n"/>
      <c r="AM18" s="17" t="n"/>
      <c r="AN18" s="17" t="n"/>
      <c r="AO18" s="17" t="n"/>
      <c r="AP18" s="17">
        <f>SUM(AF18,AH18,AJ18,AL18,AN18)</f>
        <v/>
      </c>
      <c r="AQ18" s="17">
        <f>SUM(AG18,AI18,AK18,AM18,AO18)</f>
        <v/>
      </c>
      <c r="AR18" s="17">
        <f>$J18*AP18</f>
        <v/>
      </c>
      <c r="AS18" s="17">
        <f>$J18*AQ18</f>
        <v/>
      </c>
      <c r="AT18" s="17">
        <f>AB18+AP18</f>
        <v/>
      </c>
      <c r="AU18" s="18">
        <f>AD18+AQ18</f>
        <v/>
      </c>
      <c r="AV18" s="17">
        <f>$J18*AT18</f>
        <v/>
      </c>
      <c r="AW18" s="18">
        <f>$J18*AU18</f>
        <v/>
      </c>
      <c r="AX18" s="21" t="inlineStr"/>
      <c r="AY18" s="22" t="n"/>
    </row>
    <row r="19">
      <c r="A19" s="10" t="inlineStr">
        <is>
          <t>GB-015</t>
        </is>
      </c>
      <c r="B19" s="10" t="inlineStr">
        <is>
          <t>Worm Gearbox</t>
        </is>
      </c>
      <c r="C19" s="10" t="inlineStr">
        <is>
          <t>NMRV</t>
        </is>
      </c>
      <c r="D19" s="10" t="inlineStr">
        <is>
          <t>050</t>
        </is>
      </c>
      <c r="E19" s="10" t="n"/>
      <c r="F19" s="10" t="inlineStr">
        <is>
          <t>1:50</t>
        </is>
      </c>
      <c r="G19" s="10" t="inlineStr">
        <is>
          <t>Universal</t>
        </is>
      </c>
      <c r="H19" s="10" t="inlineStr">
        <is>
          <t>Hollow shaft, keyed</t>
        </is>
      </c>
      <c r="I19" s="10" t="inlineStr">
        <is>
          <t>IEC motor adaptor/input</t>
        </is>
      </c>
      <c r="J19" s="10" t="n">
        <v>4</v>
      </c>
      <c r="K19" s="11" t="inlineStr">
        <is>
          <t>S series (worm)</t>
        </is>
      </c>
      <c r="L19" s="12" t="inlineStr">
        <is>
          <t>SP 50  i=50  (IEC B14/B5 input flange, hollow output)</t>
        </is>
      </c>
      <c r="M19" s="13" t="inlineStr">
        <is>
          <t>— (motor power not specified in RFQ)</t>
        </is>
      </c>
      <c r="N19" s="11" t="n">
        <v>50</v>
      </c>
      <c r="O19" s="11" t="n">
        <v>28</v>
      </c>
      <c r="P19" s="11" t="n">
        <v>64</v>
      </c>
      <c r="Q19" s="13" t="inlineStr">
        <is>
          <t>P1 max 0.31 kW at Sf=1</t>
        </is>
      </c>
      <c r="R19" s="13" t="inlineStr">
        <is>
          <t>Reducer table n1=1400 rpm, Sf=1 (η 61%)</t>
        </is>
      </c>
      <c r="S19" s="13" t="inlineStr">
        <is>
          <t>Hollow shaft Ø25 H7, keyed</t>
        </is>
      </c>
      <c r="T19" s="13" t="inlineStr">
        <is>
          <t>IEC 63, 71, 80 (B14 or B5)</t>
        </is>
      </c>
      <c r="U19" s="13" t="inlineStr">
        <is>
          <t>FR/FL output flange; TR/TL torque arm; SR/SL/SD output shaft; oil 211 synthetic VG220 if required</t>
        </is>
      </c>
      <c r="V19" s="13" t="inlineStr">
        <is>
          <t>S-IRS-IRSD 2025: ratings p.61; dims p.75-76</t>
        </is>
      </c>
      <c r="W19" s="13" t="inlineStr">
        <is>
          <t>Direct size-for-size NMRV equivalent (same centre distance and hollow bore). Ratio is a standard catalogue ratio.</t>
        </is>
      </c>
      <c r="X19" s="14" t="inlineStr">
        <is>
          <t>S/SP 50</t>
        </is>
      </c>
      <c r="Y19" s="15" t="inlineStr">
        <is>
          <t>p.55 (S series aluminium worm gear units)</t>
        </is>
      </c>
      <c r="Z19" s="15" t="inlineStr">
        <is>
          <t>YES</t>
        </is>
      </c>
      <c r="AA19" s="15" t="inlineStr">
        <is>
          <t>Gearbox with IEC input flange (SP) and hollow output shaft</t>
        </is>
      </c>
      <c r="AB19" s="16" t="n">
        <v>129</v>
      </c>
      <c r="AC19" s="17">
        <f>$J19*AB19</f>
        <v/>
      </c>
      <c r="AD19" s="18">
        <f>ROUND(AB19*(1-$L$2),2)</f>
        <v/>
      </c>
      <c r="AE19" s="18">
        <f>$J19*AD19</f>
        <v/>
      </c>
      <c r="AF19" s="19" t="n">
        <v>8</v>
      </c>
      <c r="AG19" s="20">
        <f>ROUND(AF19*(1-$L$2),2)</f>
        <v/>
      </c>
      <c r="AH19" s="19" t="n">
        <v>11</v>
      </c>
      <c r="AI19" s="20">
        <f>ROUND(AH19*(1-$L$2),2)</f>
        <v/>
      </c>
      <c r="AJ19" s="19" t="n">
        <v>9</v>
      </c>
      <c r="AK19" s="20">
        <f>ROUND(AJ19*(1-$L$2),2)</f>
        <v/>
      </c>
      <c r="AL19" s="17" t="n"/>
      <c r="AM19" s="17" t="n"/>
      <c r="AN19" s="17" t="n"/>
      <c r="AO19" s="17" t="n"/>
      <c r="AP19" s="17">
        <f>SUM(AF19,AH19,AJ19,AL19,AN19)</f>
        <v/>
      </c>
      <c r="AQ19" s="17">
        <f>SUM(AG19,AI19,AK19,AM19,AO19)</f>
        <v/>
      </c>
      <c r="AR19" s="17">
        <f>$J19*AP19</f>
        <v/>
      </c>
      <c r="AS19" s="17">
        <f>$J19*AQ19</f>
        <v/>
      </c>
      <c r="AT19" s="17">
        <f>AB19+AP19</f>
        <v/>
      </c>
      <c r="AU19" s="18">
        <f>AD19+AQ19</f>
        <v/>
      </c>
      <c r="AV19" s="17">
        <f>$J19*AT19</f>
        <v/>
      </c>
      <c r="AW19" s="18">
        <f>$J19*AU19</f>
        <v/>
      </c>
      <c r="AX19" s="21" t="inlineStr"/>
      <c r="AY19" s="22" t="n"/>
    </row>
    <row r="20">
      <c r="A20" s="10" t="inlineStr">
        <is>
          <t>GB-016</t>
        </is>
      </c>
      <c r="B20" s="10" t="inlineStr">
        <is>
          <t>Worm Gearbox</t>
        </is>
      </c>
      <c r="C20" s="10" t="inlineStr">
        <is>
          <t>NMRV</t>
        </is>
      </c>
      <c r="D20" s="10" t="inlineStr">
        <is>
          <t>050</t>
        </is>
      </c>
      <c r="E20" s="10" t="n"/>
      <c r="F20" s="10" t="inlineStr">
        <is>
          <t>1:60</t>
        </is>
      </c>
      <c r="G20" s="10" t="inlineStr">
        <is>
          <t>Universal</t>
        </is>
      </c>
      <c r="H20" s="10" t="inlineStr">
        <is>
          <t>Hollow shaft, keyed</t>
        </is>
      </c>
      <c r="I20" s="10" t="inlineStr">
        <is>
          <t>IEC motor adaptor/input</t>
        </is>
      </c>
      <c r="J20" s="10" t="n">
        <v>2</v>
      </c>
      <c r="K20" s="11" t="inlineStr">
        <is>
          <t>S series (worm)</t>
        </is>
      </c>
      <c r="L20" s="12" t="inlineStr">
        <is>
          <t>SP 50  i=60  (IEC B14/B5 input flange, hollow output)</t>
        </is>
      </c>
      <c r="M20" s="13" t="inlineStr">
        <is>
          <t>— (motor power not specified in RFQ)</t>
        </is>
      </c>
      <c r="N20" s="11" t="n">
        <v>60</v>
      </c>
      <c r="O20" s="11" t="n">
        <v>23</v>
      </c>
      <c r="P20" s="11" t="n">
        <v>61</v>
      </c>
      <c r="Q20" s="13" t="inlineStr">
        <is>
          <t>P1 max 0.26 kW at Sf=1</t>
        </is>
      </c>
      <c r="R20" s="13" t="inlineStr">
        <is>
          <t>Reducer table n1=1400 rpm, Sf=1 (η 57%)</t>
        </is>
      </c>
      <c r="S20" s="13" t="inlineStr">
        <is>
          <t>Hollow shaft Ø25 H7, keyed</t>
        </is>
      </c>
      <c r="T20" s="13" t="inlineStr">
        <is>
          <t>IEC 63, 71, 80 (B14 or B5)</t>
        </is>
      </c>
      <c r="U20" s="13" t="inlineStr">
        <is>
          <t>FR/FL output flange; TR/TL torque arm; SR/SL/SD output shaft; oil 211 synthetic VG220 if required</t>
        </is>
      </c>
      <c r="V20" s="13" t="inlineStr">
        <is>
          <t>S-IRS-IRSD 2025: ratings p.61; dims p.75-76</t>
        </is>
      </c>
      <c r="W20" s="13" t="inlineStr">
        <is>
          <t>Direct size-for-size NMRV equivalent (same centre distance and hollow bore). Ratio is a standard catalogue ratio.</t>
        </is>
      </c>
      <c r="X20" s="14" t="inlineStr">
        <is>
          <t>S/SP 50</t>
        </is>
      </c>
      <c r="Y20" s="15" t="inlineStr">
        <is>
          <t>p.55 (S series aluminium worm gear units)</t>
        </is>
      </c>
      <c r="Z20" s="15" t="inlineStr">
        <is>
          <t>YES</t>
        </is>
      </c>
      <c r="AA20" s="15" t="inlineStr">
        <is>
          <t>Gearbox with IEC input flange (SP) and hollow output shaft</t>
        </is>
      </c>
      <c r="AB20" s="16" t="n">
        <v>129</v>
      </c>
      <c r="AC20" s="17">
        <f>$J20*AB20</f>
        <v/>
      </c>
      <c r="AD20" s="18">
        <f>ROUND(AB20*(1-$L$2),2)</f>
        <v/>
      </c>
      <c r="AE20" s="18">
        <f>$J20*AD20</f>
        <v/>
      </c>
      <c r="AF20" s="19" t="n">
        <v>8</v>
      </c>
      <c r="AG20" s="20">
        <f>ROUND(AF20*(1-$L$2),2)</f>
        <v/>
      </c>
      <c r="AH20" s="19" t="n">
        <v>11</v>
      </c>
      <c r="AI20" s="20">
        <f>ROUND(AH20*(1-$L$2),2)</f>
        <v/>
      </c>
      <c r="AJ20" s="19" t="n">
        <v>9</v>
      </c>
      <c r="AK20" s="20">
        <f>ROUND(AJ20*(1-$L$2),2)</f>
        <v/>
      </c>
      <c r="AL20" s="17" t="n"/>
      <c r="AM20" s="17" t="n"/>
      <c r="AN20" s="17" t="n"/>
      <c r="AO20" s="17" t="n"/>
      <c r="AP20" s="17">
        <f>SUM(AF20,AH20,AJ20,AL20,AN20)</f>
        <v/>
      </c>
      <c r="AQ20" s="17">
        <f>SUM(AG20,AI20,AK20,AM20,AO20)</f>
        <v/>
      </c>
      <c r="AR20" s="17">
        <f>$J20*AP20</f>
        <v/>
      </c>
      <c r="AS20" s="17">
        <f>$J20*AQ20</f>
        <v/>
      </c>
      <c r="AT20" s="17">
        <f>AB20+AP20</f>
        <v/>
      </c>
      <c r="AU20" s="18">
        <f>AD20+AQ20</f>
        <v/>
      </c>
      <c r="AV20" s="17">
        <f>$J20*AT20</f>
        <v/>
      </c>
      <c r="AW20" s="18">
        <f>$J20*AU20</f>
        <v/>
      </c>
      <c r="AX20" s="21" t="inlineStr"/>
      <c r="AY20" s="22" t="n"/>
    </row>
    <row r="21">
      <c r="A21" s="10" t="inlineStr">
        <is>
          <t>GB-017</t>
        </is>
      </c>
      <c r="B21" s="10" t="inlineStr">
        <is>
          <t>Worm Gearbox</t>
        </is>
      </c>
      <c r="C21" s="10" t="inlineStr">
        <is>
          <t>NMRV</t>
        </is>
      </c>
      <c r="D21" s="10" t="inlineStr">
        <is>
          <t>063</t>
        </is>
      </c>
      <c r="E21" s="10" t="n"/>
      <c r="F21" s="10" t="inlineStr">
        <is>
          <t>1:10</t>
        </is>
      </c>
      <c r="G21" s="10" t="inlineStr">
        <is>
          <t>Universal</t>
        </is>
      </c>
      <c r="H21" s="10" t="inlineStr">
        <is>
          <t>Hollow shaft, keyed</t>
        </is>
      </c>
      <c r="I21" s="10" t="inlineStr">
        <is>
          <t>IEC motor adaptor/input</t>
        </is>
      </c>
      <c r="J21" s="10" t="n">
        <v>5</v>
      </c>
      <c r="K21" s="11" t="inlineStr">
        <is>
          <t>S series (worm)</t>
        </is>
      </c>
      <c r="L21" s="12" t="inlineStr">
        <is>
          <t>SP 63  i=10  (IEC B14/B5 input flange, hollow output)</t>
        </is>
      </c>
      <c r="M21" s="13" t="inlineStr">
        <is>
          <t>— (motor power not specified in RFQ)</t>
        </is>
      </c>
      <c r="N21" s="11" t="n">
        <v>10</v>
      </c>
      <c r="O21" s="11" t="n">
        <v>140</v>
      </c>
      <c r="P21" s="11" t="n">
        <v>123</v>
      </c>
      <c r="Q21" s="13" t="inlineStr">
        <is>
          <t>P1 max 2.2 kW at Sf=1</t>
        </is>
      </c>
      <c r="R21" s="13" t="inlineStr">
        <is>
          <t>Reducer table n1=1400 rpm, Sf=1 (η 82%)</t>
        </is>
      </c>
      <c r="S21" s="13" t="inlineStr">
        <is>
          <t>Hollow shaft Ø25 H7, keyed</t>
        </is>
      </c>
      <c r="T21" s="13" t="inlineStr">
        <is>
          <t>IEC 71, 80, 90 (B14 or B5)</t>
        </is>
      </c>
      <c r="U21" s="13" t="inlineStr">
        <is>
          <t>FR/FL output flange; TR/TL torque arm; SR/SL/SD output shaft; oil 211 synthetic VG220 if required</t>
        </is>
      </c>
      <c r="V21" s="13" t="inlineStr">
        <is>
          <t>S-IRS-IRSD 2025: ratings p.61; dims p.77-78</t>
        </is>
      </c>
      <c r="W21" s="13" t="inlineStr">
        <is>
          <t>Direct size-for-size NMRV equivalent (same centre distance and hollow bore). Ratio is a standard catalogue ratio.</t>
        </is>
      </c>
      <c r="X21" s="14" t="inlineStr">
        <is>
          <t>S/SP 63</t>
        </is>
      </c>
      <c r="Y21" s="15" t="inlineStr">
        <is>
          <t>p.55 (S series aluminium worm gear units)</t>
        </is>
      </c>
      <c r="Z21" s="15" t="inlineStr">
        <is>
          <t>YES</t>
        </is>
      </c>
      <c r="AA21" s="15" t="inlineStr">
        <is>
          <t>Gearbox with IEC input flange (SP) and hollow output shaft</t>
        </is>
      </c>
      <c r="AB21" s="16" t="n">
        <v>175</v>
      </c>
      <c r="AC21" s="17">
        <f>$J21*AB21</f>
        <v/>
      </c>
      <c r="AD21" s="18">
        <f>ROUND(AB21*(1-$L$2),2)</f>
        <v/>
      </c>
      <c r="AE21" s="18">
        <f>$J21*AD21</f>
        <v/>
      </c>
      <c r="AF21" s="19" t="n">
        <v>10</v>
      </c>
      <c r="AG21" s="20">
        <f>ROUND(AF21*(1-$L$2),2)</f>
        <v/>
      </c>
      <c r="AH21" s="19" t="n">
        <v>15</v>
      </c>
      <c r="AI21" s="20">
        <f>ROUND(AH21*(1-$L$2),2)</f>
        <v/>
      </c>
      <c r="AJ21" s="19" t="n">
        <v>11</v>
      </c>
      <c r="AK21" s="20">
        <f>ROUND(AJ21*(1-$L$2),2)</f>
        <v/>
      </c>
      <c r="AL21" s="17" t="n"/>
      <c r="AM21" s="17" t="n"/>
      <c r="AN21" s="17" t="n"/>
      <c r="AO21" s="17" t="n"/>
      <c r="AP21" s="17">
        <f>SUM(AF21,AH21,AJ21,AL21,AN21)</f>
        <v/>
      </c>
      <c r="AQ21" s="17">
        <f>SUM(AG21,AI21,AK21,AM21,AO21)</f>
        <v/>
      </c>
      <c r="AR21" s="17">
        <f>$J21*AP21</f>
        <v/>
      </c>
      <c r="AS21" s="17">
        <f>$J21*AQ21</f>
        <v/>
      </c>
      <c r="AT21" s="17">
        <f>AB21+AP21</f>
        <v/>
      </c>
      <c r="AU21" s="18">
        <f>AD21+AQ21</f>
        <v/>
      </c>
      <c r="AV21" s="17">
        <f>$J21*AT21</f>
        <v/>
      </c>
      <c r="AW21" s="18">
        <f>$J21*AU21</f>
        <v/>
      </c>
      <c r="AX21" s="21" t="inlineStr"/>
      <c r="AY21" s="22" t="n"/>
    </row>
    <row r="22">
      <c r="A22" s="10" t="inlineStr">
        <is>
          <t>GB-018</t>
        </is>
      </c>
      <c r="B22" s="10" t="inlineStr">
        <is>
          <t>Worm Gearbox</t>
        </is>
      </c>
      <c r="C22" s="10" t="inlineStr">
        <is>
          <t>NMRV</t>
        </is>
      </c>
      <c r="D22" s="10" t="inlineStr">
        <is>
          <t>063</t>
        </is>
      </c>
      <c r="E22" s="10" t="n"/>
      <c r="F22" s="10" t="inlineStr">
        <is>
          <t>1:15</t>
        </is>
      </c>
      <c r="G22" s="10" t="inlineStr">
        <is>
          <t>Universal</t>
        </is>
      </c>
      <c r="H22" s="10" t="inlineStr">
        <is>
          <t>Hollow shaft, keyed</t>
        </is>
      </c>
      <c r="I22" s="10" t="inlineStr">
        <is>
          <t>IEC motor adaptor/input</t>
        </is>
      </c>
      <c r="J22" s="10" t="n">
        <v>4</v>
      </c>
      <c r="K22" s="11" t="inlineStr">
        <is>
          <t>S series (worm)</t>
        </is>
      </c>
      <c r="L22" s="12" t="inlineStr">
        <is>
          <t>SP 63  i=15  (IEC B14/B5 input flange, hollow output)</t>
        </is>
      </c>
      <c r="M22" s="13" t="inlineStr">
        <is>
          <t>— (motor power not specified in RFQ)</t>
        </is>
      </c>
      <c r="N22" s="11" t="n">
        <v>15</v>
      </c>
      <c r="O22" s="11" t="n">
        <v>93</v>
      </c>
      <c r="P22" s="11" t="n">
        <v>131</v>
      </c>
      <c r="Q22" s="13" t="inlineStr">
        <is>
          <t>P1 max 1.6 kW at Sf=1</t>
        </is>
      </c>
      <c r="R22" s="13" t="inlineStr">
        <is>
          <t>Reducer table n1=1400 rpm, Sf=1 (η 80%)</t>
        </is>
      </c>
      <c r="S22" s="13" t="inlineStr">
        <is>
          <t>Hollow shaft Ø25 H7, keyed</t>
        </is>
      </c>
      <c r="T22" s="13" t="inlineStr">
        <is>
          <t>IEC 71, 80, 90 (B14 or B5)</t>
        </is>
      </c>
      <c r="U22" s="13" t="inlineStr">
        <is>
          <t>FR/FL output flange; TR/TL torque arm; SR/SL/SD output shaft; oil 211 synthetic VG220 if required</t>
        </is>
      </c>
      <c r="V22" s="13" t="inlineStr">
        <is>
          <t>S-IRS-IRSD 2025: ratings p.61; dims p.77-78</t>
        </is>
      </c>
      <c r="W22" s="13" t="inlineStr">
        <is>
          <t>Direct size-for-size NMRV equivalent (same centre distance and hollow bore). Ratio is a standard catalogue ratio.</t>
        </is>
      </c>
      <c r="X22" s="14" t="inlineStr">
        <is>
          <t>S/SP 63</t>
        </is>
      </c>
      <c r="Y22" s="15" t="inlineStr">
        <is>
          <t>p.55 (S series aluminium worm gear units)</t>
        </is>
      </c>
      <c r="Z22" s="15" t="inlineStr">
        <is>
          <t>YES</t>
        </is>
      </c>
      <c r="AA22" s="15" t="inlineStr">
        <is>
          <t>Gearbox with IEC input flange (SP) and hollow output shaft</t>
        </is>
      </c>
      <c r="AB22" s="16" t="n">
        <v>175</v>
      </c>
      <c r="AC22" s="17">
        <f>$J22*AB22</f>
        <v/>
      </c>
      <c r="AD22" s="18">
        <f>ROUND(AB22*(1-$L$2),2)</f>
        <v/>
      </c>
      <c r="AE22" s="18">
        <f>$J22*AD22</f>
        <v/>
      </c>
      <c r="AF22" s="19" t="n">
        <v>10</v>
      </c>
      <c r="AG22" s="20">
        <f>ROUND(AF22*(1-$L$2),2)</f>
        <v/>
      </c>
      <c r="AH22" s="19" t="n">
        <v>15</v>
      </c>
      <c r="AI22" s="20">
        <f>ROUND(AH22*(1-$L$2),2)</f>
        <v/>
      </c>
      <c r="AJ22" s="19" t="n">
        <v>11</v>
      </c>
      <c r="AK22" s="20">
        <f>ROUND(AJ22*(1-$L$2),2)</f>
        <v/>
      </c>
      <c r="AL22" s="17" t="n"/>
      <c r="AM22" s="17" t="n"/>
      <c r="AN22" s="17" t="n"/>
      <c r="AO22" s="17" t="n"/>
      <c r="AP22" s="17">
        <f>SUM(AF22,AH22,AJ22,AL22,AN22)</f>
        <v/>
      </c>
      <c r="AQ22" s="17">
        <f>SUM(AG22,AI22,AK22,AM22,AO22)</f>
        <v/>
      </c>
      <c r="AR22" s="17">
        <f>$J22*AP22</f>
        <v/>
      </c>
      <c r="AS22" s="17">
        <f>$J22*AQ22</f>
        <v/>
      </c>
      <c r="AT22" s="17">
        <f>AB22+AP22</f>
        <v/>
      </c>
      <c r="AU22" s="18">
        <f>AD22+AQ22</f>
        <v/>
      </c>
      <c r="AV22" s="17">
        <f>$J22*AT22</f>
        <v/>
      </c>
      <c r="AW22" s="18">
        <f>$J22*AU22</f>
        <v/>
      </c>
      <c r="AX22" s="21" t="inlineStr"/>
      <c r="AY22" s="22" t="n"/>
    </row>
    <row r="23">
      <c r="A23" s="10" t="inlineStr">
        <is>
          <t>GB-019</t>
        </is>
      </c>
      <c r="B23" s="10" t="inlineStr">
        <is>
          <t>Worm Gearbox</t>
        </is>
      </c>
      <c r="C23" s="10" t="inlineStr">
        <is>
          <t>NMRV</t>
        </is>
      </c>
      <c r="D23" s="10" t="inlineStr">
        <is>
          <t>063</t>
        </is>
      </c>
      <c r="E23" s="10" t="n"/>
      <c r="F23" s="10" t="inlineStr">
        <is>
          <t>1:20</t>
        </is>
      </c>
      <c r="G23" s="10" t="inlineStr">
        <is>
          <t>Universal</t>
        </is>
      </c>
      <c r="H23" s="10" t="inlineStr">
        <is>
          <t>Hollow shaft, keyed</t>
        </is>
      </c>
      <c r="I23" s="10" t="inlineStr">
        <is>
          <t>IEC motor adaptor/input</t>
        </is>
      </c>
      <c r="J23" s="10" t="n">
        <v>5</v>
      </c>
      <c r="K23" s="11" t="inlineStr">
        <is>
          <t>S series (worm)</t>
        </is>
      </c>
      <c r="L23" s="12" t="inlineStr">
        <is>
          <t>SP 63  i=20  (IEC B14/B5 input flange, hollow output)</t>
        </is>
      </c>
      <c r="M23" s="13" t="inlineStr">
        <is>
          <t>— (motor power not specified in RFQ)</t>
        </is>
      </c>
      <c r="N23" s="11" t="n">
        <v>20</v>
      </c>
      <c r="O23" s="11" t="n">
        <v>70</v>
      </c>
      <c r="P23" s="11" t="n">
        <v>128</v>
      </c>
      <c r="Q23" s="13" t="inlineStr">
        <is>
          <t>P1 max 1.2 kW at Sf=1</t>
        </is>
      </c>
      <c r="R23" s="13" t="inlineStr">
        <is>
          <t>Reducer table n1=1400 rpm, Sf=1 (η 78%)</t>
        </is>
      </c>
      <c r="S23" s="13" t="inlineStr">
        <is>
          <t>Hollow shaft Ø25 H7, keyed</t>
        </is>
      </c>
      <c r="T23" s="13" t="inlineStr">
        <is>
          <t>IEC 71, 80, 90 (B14 or B5)</t>
        </is>
      </c>
      <c r="U23" s="13" t="inlineStr">
        <is>
          <t>FR/FL output flange; TR/TL torque arm; SR/SL/SD output shaft; oil 211 synthetic VG220 if required</t>
        </is>
      </c>
      <c r="V23" s="13" t="inlineStr">
        <is>
          <t>S-IRS-IRSD 2025: ratings p.61; dims p.77-78</t>
        </is>
      </c>
      <c r="W23" s="13" t="inlineStr">
        <is>
          <t>Direct size-for-size NMRV equivalent (same centre distance and hollow bore). Ratio is a standard catalogue ratio.</t>
        </is>
      </c>
      <c r="X23" s="14" t="inlineStr">
        <is>
          <t>S/SP 63</t>
        </is>
      </c>
      <c r="Y23" s="15" t="inlineStr">
        <is>
          <t>p.55 (S series aluminium worm gear units)</t>
        </is>
      </c>
      <c r="Z23" s="15" t="inlineStr">
        <is>
          <t>YES</t>
        </is>
      </c>
      <c r="AA23" s="15" t="inlineStr">
        <is>
          <t>Gearbox with IEC input flange (SP) and hollow output shaft</t>
        </is>
      </c>
      <c r="AB23" s="16" t="n">
        <v>175</v>
      </c>
      <c r="AC23" s="17">
        <f>$J23*AB23</f>
        <v/>
      </c>
      <c r="AD23" s="18">
        <f>ROUND(AB23*(1-$L$2),2)</f>
        <v/>
      </c>
      <c r="AE23" s="18">
        <f>$J23*AD23</f>
        <v/>
      </c>
      <c r="AF23" s="19" t="n">
        <v>10</v>
      </c>
      <c r="AG23" s="20">
        <f>ROUND(AF23*(1-$L$2),2)</f>
        <v/>
      </c>
      <c r="AH23" s="19" t="n">
        <v>15</v>
      </c>
      <c r="AI23" s="20">
        <f>ROUND(AH23*(1-$L$2),2)</f>
        <v/>
      </c>
      <c r="AJ23" s="19" t="n">
        <v>11</v>
      </c>
      <c r="AK23" s="20">
        <f>ROUND(AJ23*(1-$L$2),2)</f>
        <v/>
      </c>
      <c r="AL23" s="17" t="n"/>
      <c r="AM23" s="17" t="n"/>
      <c r="AN23" s="17" t="n"/>
      <c r="AO23" s="17" t="n"/>
      <c r="AP23" s="17">
        <f>SUM(AF23,AH23,AJ23,AL23,AN23)</f>
        <v/>
      </c>
      <c r="AQ23" s="17">
        <f>SUM(AG23,AI23,AK23,AM23,AO23)</f>
        <v/>
      </c>
      <c r="AR23" s="17">
        <f>$J23*AP23</f>
        <v/>
      </c>
      <c r="AS23" s="17">
        <f>$J23*AQ23</f>
        <v/>
      </c>
      <c r="AT23" s="17">
        <f>AB23+AP23</f>
        <v/>
      </c>
      <c r="AU23" s="18">
        <f>AD23+AQ23</f>
        <v/>
      </c>
      <c r="AV23" s="17">
        <f>$J23*AT23</f>
        <v/>
      </c>
      <c r="AW23" s="18">
        <f>$J23*AU23</f>
        <v/>
      </c>
      <c r="AX23" s="21" t="inlineStr"/>
      <c r="AY23" s="22" t="n"/>
    </row>
    <row r="24">
      <c r="A24" s="10" t="inlineStr">
        <is>
          <t>GB-020</t>
        </is>
      </c>
      <c r="B24" s="10" t="inlineStr">
        <is>
          <t>Worm Gearbox</t>
        </is>
      </c>
      <c r="C24" s="10" t="inlineStr">
        <is>
          <t>NMRV</t>
        </is>
      </c>
      <c r="D24" s="10" t="inlineStr">
        <is>
          <t>063</t>
        </is>
      </c>
      <c r="E24" s="10" t="n"/>
      <c r="F24" s="10" t="inlineStr">
        <is>
          <t>1:25</t>
        </is>
      </c>
      <c r="G24" s="10" t="inlineStr">
        <is>
          <t>Universal</t>
        </is>
      </c>
      <c r="H24" s="10" t="inlineStr">
        <is>
          <t>Hollow shaft, keyed</t>
        </is>
      </c>
      <c r="I24" s="10" t="inlineStr">
        <is>
          <t>IEC motor adaptor/input</t>
        </is>
      </c>
      <c r="J24" s="10" t="n">
        <v>3</v>
      </c>
      <c r="K24" s="11" t="inlineStr">
        <is>
          <t>S series (worm)</t>
        </is>
      </c>
      <c r="L24" s="12" t="inlineStr">
        <is>
          <t>SP 63  i=25  (IEC B14/B5 input flange, hollow output)</t>
        </is>
      </c>
      <c r="M24" s="13" t="inlineStr">
        <is>
          <t>— (motor power not specified in RFQ)</t>
        </is>
      </c>
      <c r="N24" s="11" t="n">
        <v>25</v>
      </c>
      <c r="O24" s="11" t="n">
        <v>56</v>
      </c>
      <c r="P24" s="11" t="n">
        <v>125</v>
      </c>
      <c r="Q24" s="13" t="inlineStr">
        <is>
          <t>P1 max 0.99 kW at Sf=1</t>
        </is>
      </c>
      <c r="R24" s="13" t="inlineStr">
        <is>
          <t>Reducer table n1=1400 rpm, Sf=1 (η 74%)</t>
        </is>
      </c>
      <c r="S24" s="13" t="inlineStr">
        <is>
          <t>Hollow shaft Ø25 H7, keyed</t>
        </is>
      </c>
      <c r="T24" s="13" t="inlineStr">
        <is>
          <t>IEC 71, 80, 90 (B14 or B5)</t>
        </is>
      </c>
      <c r="U24" s="13" t="inlineStr">
        <is>
          <t>FR/FL output flange; TR/TL torque arm; SR/SL/SD output shaft; oil 211 synthetic VG220 if required</t>
        </is>
      </c>
      <c r="V24" s="13" t="inlineStr">
        <is>
          <t>S-IRS-IRSD 2025: ratings p.61; dims p.77-78</t>
        </is>
      </c>
      <c r="W24" s="13" t="inlineStr">
        <is>
          <t>Direct size-for-size NMRV equivalent (same centre distance and hollow bore). Ratio is a standard catalogue ratio.</t>
        </is>
      </c>
      <c r="X24" s="14" t="inlineStr">
        <is>
          <t>S/SP 63</t>
        </is>
      </c>
      <c r="Y24" s="15" t="inlineStr">
        <is>
          <t>p.55 (S series aluminium worm gear units)</t>
        </is>
      </c>
      <c r="Z24" s="15" t="inlineStr">
        <is>
          <t>YES</t>
        </is>
      </c>
      <c r="AA24" s="15" t="inlineStr">
        <is>
          <t>Gearbox with IEC input flange (SP) and hollow output shaft</t>
        </is>
      </c>
      <c r="AB24" s="16" t="n">
        <v>175</v>
      </c>
      <c r="AC24" s="17">
        <f>$J24*AB24</f>
        <v/>
      </c>
      <c r="AD24" s="18">
        <f>ROUND(AB24*(1-$L$2),2)</f>
        <v/>
      </c>
      <c r="AE24" s="18">
        <f>$J24*AD24</f>
        <v/>
      </c>
      <c r="AF24" s="19" t="n">
        <v>10</v>
      </c>
      <c r="AG24" s="20">
        <f>ROUND(AF24*(1-$L$2),2)</f>
        <v/>
      </c>
      <c r="AH24" s="19" t="n">
        <v>15</v>
      </c>
      <c r="AI24" s="20">
        <f>ROUND(AH24*(1-$L$2),2)</f>
        <v/>
      </c>
      <c r="AJ24" s="19" t="n">
        <v>11</v>
      </c>
      <c r="AK24" s="20">
        <f>ROUND(AJ24*(1-$L$2),2)</f>
        <v/>
      </c>
      <c r="AL24" s="17" t="n"/>
      <c r="AM24" s="17" t="n"/>
      <c r="AN24" s="17" t="n"/>
      <c r="AO24" s="17" t="n"/>
      <c r="AP24" s="17">
        <f>SUM(AF24,AH24,AJ24,AL24,AN24)</f>
        <v/>
      </c>
      <c r="AQ24" s="17">
        <f>SUM(AG24,AI24,AK24,AM24,AO24)</f>
        <v/>
      </c>
      <c r="AR24" s="17">
        <f>$J24*AP24</f>
        <v/>
      </c>
      <c r="AS24" s="17">
        <f>$J24*AQ24</f>
        <v/>
      </c>
      <c r="AT24" s="17">
        <f>AB24+AP24</f>
        <v/>
      </c>
      <c r="AU24" s="18">
        <f>AD24+AQ24</f>
        <v/>
      </c>
      <c r="AV24" s="17">
        <f>$J24*AT24</f>
        <v/>
      </c>
      <c r="AW24" s="18">
        <f>$J24*AU24</f>
        <v/>
      </c>
      <c r="AX24" s="21" t="inlineStr"/>
      <c r="AY24" s="22" t="n"/>
    </row>
    <row r="25">
      <c r="A25" s="10" t="inlineStr">
        <is>
          <t>GB-021</t>
        </is>
      </c>
      <c r="B25" s="10" t="inlineStr">
        <is>
          <t>Worm Gearbox</t>
        </is>
      </c>
      <c r="C25" s="10" t="inlineStr">
        <is>
          <t>NMRV</t>
        </is>
      </c>
      <c r="D25" s="10" t="inlineStr">
        <is>
          <t>063</t>
        </is>
      </c>
      <c r="E25" s="10" t="n"/>
      <c r="F25" s="10" t="inlineStr">
        <is>
          <t>1:30</t>
        </is>
      </c>
      <c r="G25" s="10" t="inlineStr">
        <is>
          <t>Universal</t>
        </is>
      </c>
      <c r="H25" s="10" t="inlineStr">
        <is>
          <t>Hollow shaft, keyed</t>
        </is>
      </c>
      <c r="I25" s="10" t="inlineStr">
        <is>
          <t>IEC motor adaptor/input</t>
        </is>
      </c>
      <c r="J25" s="10" t="n">
        <v>4</v>
      </c>
      <c r="K25" s="11" t="inlineStr">
        <is>
          <t>S series (worm)</t>
        </is>
      </c>
      <c r="L25" s="12" t="inlineStr">
        <is>
          <t>SP 63  i=30  (IEC B14/B5 input flange, hollow output)</t>
        </is>
      </c>
      <c r="M25" s="13" t="inlineStr">
        <is>
          <t>— (motor power not specified in RFQ)</t>
        </is>
      </c>
      <c r="N25" s="11" t="n">
        <v>30</v>
      </c>
      <c r="O25" s="11" t="n">
        <v>47</v>
      </c>
      <c r="P25" s="11" t="n">
        <v>145</v>
      </c>
      <c r="Q25" s="13" t="inlineStr">
        <is>
          <t>P1 max 1.0 kW at Sf=1</t>
        </is>
      </c>
      <c r="R25" s="13" t="inlineStr">
        <is>
          <t>Reducer table n1=1400 rpm, Sf=1 (η 71%)</t>
        </is>
      </c>
      <c r="S25" s="13" t="inlineStr">
        <is>
          <t>Hollow shaft Ø25 H7, keyed</t>
        </is>
      </c>
      <c r="T25" s="13" t="inlineStr">
        <is>
          <t>IEC 71, 80, 90 (B14 or B5)</t>
        </is>
      </c>
      <c r="U25" s="13" t="inlineStr">
        <is>
          <t>FR/FL output flange; TR/TL torque arm; SR/SL/SD output shaft; oil 211 synthetic VG220 if required</t>
        </is>
      </c>
      <c r="V25" s="13" t="inlineStr">
        <is>
          <t>S-IRS-IRSD 2025: ratings p.61; dims p.77-78</t>
        </is>
      </c>
      <c r="W25" s="13" t="inlineStr">
        <is>
          <t>Direct size-for-size NMRV equivalent (same centre distance and hollow bore). Ratio is a standard catalogue ratio.</t>
        </is>
      </c>
      <c r="X25" s="14" t="inlineStr">
        <is>
          <t>S/SP 63</t>
        </is>
      </c>
      <c r="Y25" s="15" t="inlineStr">
        <is>
          <t>p.55 (S series aluminium worm gear units)</t>
        </is>
      </c>
      <c r="Z25" s="15" t="inlineStr">
        <is>
          <t>YES</t>
        </is>
      </c>
      <c r="AA25" s="15" t="inlineStr">
        <is>
          <t>Gearbox with IEC input flange (SP) and hollow output shaft</t>
        </is>
      </c>
      <c r="AB25" s="16" t="n">
        <v>175</v>
      </c>
      <c r="AC25" s="17">
        <f>$J25*AB25</f>
        <v/>
      </c>
      <c r="AD25" s="18">
        <f>ROUND(AB25*(1-$L$2),2)</f>
        <v/>
      </c>
      <c r="AE25" s="18">
        <f>$J25*AD25</f>
        <v/>
      </c>
      <c r="AF25" s="19" t="n">
        <v>10</v>
      </c>
      <c r="AG25" s="20">
        <f>ROUND(AF25*(1-$L$2),2)</f>
        <v/>
      </c>
      <c r="AH25" s="19" t="n">
        <v>15</v>
      </c>
      <c r="AI25" s="20">
        <f>ROUND(AH25*(1-$L$2),2)</f>
        <v/>
      </c>
      <c r="AJ25" s="19" t="n">
        <v>11</v>
      </c>
      <c r="AK25" s="20">
        <f>ROUND(AJ25*(1-$L$2),2)</f>
        <v/>
      </c>
      <c r="AL25" s="17" t="n"/>
      <c r="AM25" s="17" t="n"/>
      <c r="AN25" s="17" t="n"/>
      <c r="AO25" s="17" t="n"/>
      <c r="AP25" s="17">
        <f>SUM(AF25,AH25,AJ25,AL25,AN25)</f>
        <v/>
      </c>
      <c r="AQ25" s="17">
        <f>SUM(AG25,AI25,AK25,AM25,AO25)</f>
        <v/>
      </c>
      <c r="AR25" s="17">
        <f>$J25*AP25</f>
        <v/>
      </c>
      <c r="AS25" s="17">
        <f>$J25*AQ25</f>
        <v/>
      </c>
      <c r="AT25" s="17">
        <f>AB25+AP25</f>
        <v/>
      </c>
      <c r="AU25" s="18">
        <f>AD25+AQ25</f>
        <v/>
      </c>
      <c r="AV25" s="17">
        <f>$J25*AT25</f>
        <v/>
      </c>
      <c r="AW25" s="18">
        <f>$J25*AU25</f>
        <v/>
      </c>
      <c r="AX25" s="21" t="inlineStr"/>
      <c r="AY25" s="22" t="n"/>
    </row>
    <row r="26">
      <c r="A26" s="10" t="inlineStr">
        <is>
          <t>GB-022</t>
        </is>
      </c>
      <c r="B26" s="10" t="inlineStr">
        <is>
          <t>Worm Gearbox</t>
        </is>
      </c>
      <c r="C26" s="10" t="inlineStr">
        <is>
          <t>NMRV</t>
        </is>
      </c>
      <c r="D26" s="10" t="inlineStr">
        <is>
          <t>063</t>
        </is>
      </c>
      <c r="E26" s="10" t="n"/>
      <c r="F26" s="10" t="inlineStr">
        <is>
          <t>1:40</t>
        </is>
      </c>
      <c r="G26" s="10" t="inlineStr">
        <is>
          <t>Universal</t>
        </is>
      </c>
      <c r="H26" s="10" t="inlineStr">
        <is>
          <t>Hollow shaft, keyed</t>
        </is>
      </c>
      <c r="I26" s="10" t="inlineStr">
        <is>
          <t>IEC motor adaptor/input</t>
        </is>
      </c>
      <c r="J26" s="10" t="n">
        <v>4</v>
      </c>
      <c r="K26" s="11" t="inlineStr">
        <is>
          <t>S series (worm)</t>
        </is>
      </c>
      <c r="L26" s="12" t="inlineStr">
        <is>
          <t>SP 63  i=40  (IEC B14/B5 input flange, hollow output)</t>
        </is>
      </c>
      <c r="M26" s="13" t="inlineStr">
        <is>
          <t>— (motor power not specified in RFQ)</t>
        </is>
      </c>
      <c r="N26" s="11" t="n">
        <v>40</v>
      </c>
      <c r="O26" s="11" t="n">
        <v>35</v>
      </c>
      <c r="P26" s="11" t="n">
        <v>137</v>
      </c>
      <c r="Q26" s="13" t="inlineStr">
        <is>
          <t>P1 max 0.75 kW at Sf=1</t>
        </is>
      </c>
      <c r="R26" s="13" t="inlineStr">
        <is>
          <t>Reducer table n1=1400 rpm, Sf=1 (η 67%)</t>
        </is>
      </c>
      <c r="S26" s="13" t="inlineStr">
        <is>
          <t>Hollow shaft Ø25 H7, keyed</t>
        </is>
      </c>
      <c r="T26" s="13" t="inlineStr">
        <is>
          <t>IEC 71, 80, 90 (B14 or B5)</t>
        </is>
      </c>
      <c r="U26" s="13" t="inlineStr">
        <is>
          <t>FR/FL output flange; TR/TL torque arm; SR/SL/SD output shaft; oil 211 synthetic VG220 if required</t>
        </is>
      </c>
      <c r="V26" s="13" t="inlineStr">
        <is>
          <t>S-IRS-IRSD 2025: ratings p.61; dims p.77-78</t>
        </is>
      </c>
      <c r="W26" s="13" t="inlineStr">
        <is>
          <t>Direct size-for-size NMRV equivalent (same centre distance and hollow bore). Ratio is a standard catalogue ratio.</t>
        </is>
      </c>
      <c r="X26" s="14" t="inlineStr">
        <is>
          <t>S/SP 63</t>
        </is>
      </c>
      <c r="Y26" s="15" t="inlineStr">
        <is>
          <t>p.55 (S series aluminium worm gear units)</t>
        </is>
      </c>
      <c r="Z26" s="15" t="inlineStr">
        <is>
          <t>YES</t>
        </is>
      </c>
      <c r="AA26" s="15" t="inlineStr">
        <is>
          <t>Gearbox with IEC input flange (SP) and hollow output shaft</t>
        </is>
      </c>
      <c r="AB26" s="16" t="n">
        <v>175</v>
      </c>
      <c r="AC26" s="17">
        <f>$J26*AB26</f>
        <v/>
      </c>
      <c r="AD26" s="18">
        <f>ROUND(AB26*(1-$L$2),2)</f>
        <v/>
      </c>
      <c r="AE26" s="18">
        <f>$J26*AD26</f>
        <v/>
      </c>
      <c r="AF26" s="19" t="n">
        <v>10</v>
      </c>
      <c r="AG26" s="20">
        <f>ROUND(AF26*(1-$L$2),2)</f>
        <v/>
      </c>
      <c r="AH26" s="19" t="n">
        <v>15</v>
      </c>
      <c r="AI26" s="20">
        <f>ROUND(AH26*(1-$L$2),2)</f>
        <v/>
      </c>
      <c r="AJ26" s="19" t="n">
        <v>11</v>
      </c>
      <c r="AK26" s="20">
        <f>ROUND(AJ26*(1-$L$2),2)</f>
        <v/>
      </c>
      <c r="AL26" s="17" t="n"/>
      <c r="AM26" s="17" t="n"/>
      <c r="AN26" s="17" t="n"/>
      <c r="AO26" s="17" t="n"/>
      <c r="AP26" s="17">
        <f>SUM(AF26,AH26,AJ26,AL26,AN26)</f>
        <v/>
      </c>
      <c r="AQ26" s="17">
        <f>SUM(AG26,AI26,AK26,AM26,AO26)</f>
        <v/>
      </c>
      <c r="AR26" s="17">
        <f>$J26*AP26</f>
        <v/>
      </c>
      <c r="AS26" s="17">
        <f>$J26*AQ26</f>
        <v/>
      </c>
      <c r="AT26" s="17">
        <f>AB26+AP26</f>
        <v/>
      </c>
      <c r="AU26" s="18">
        <f>AD26+AQ26</f>
        <v/>
      </c>
      <c r="AV26" s="17">
        <f>$J26*AT26</f>
        <v/>
      </c>
      <c r="AW26" s="18">
        <f>$J26*AU26</f>
        <v/>
      </c>
      <c r="AX26" s="21" t="inlineStr"/>
      <c r="AY26" s="22" t="n"/>
    </row>
    <row r="27">
      <c r="A27" s="10" t="inlineStr">
        <is>
          <t>GB-023</t>
        </is>
      </c>
      <c r="B27" s="10" t="inlineStr">
        <is>
          <t>Worm Gearbox</t>
        </is>
      </c>
      <c r="C27" s="10" t="inlineStr">
        <is>
          <t>NMRV</t>
        </is>
      </c>
      <c r="D27" s="10" t="inlineStr">
        <is>
          <t>063</t>
        </is>
      </c>
      <c r="E27" s="10" t="n"/>
      <c r="F27" s="10" t="inlineStr">
        <is>
          <t>1:50</t>
        </is>
      </c>
      <c r="G27" s="10" t="inlineStr">
        <is>
          <t>Universal</t>
        </is>
      </c>
      <c r="H27" s="10" t="inlineStr">
        <is>
          <t>Hollow shaft, keyed</t>
        </is>
      </c>
      <c r="I27" s="10" t="inlineStr">
        <is>
          <t>IEC motor adaptor/input</t>
        </is>
      </c>
      <c r="J27" s="10" t="n">
        <v>3</v>
      </c>
      <c r="K27" s="11" t="inlineStr">
        <is>
          <t>S series (worm)</t>
        </is>
      </c>
      <c r="L27" s="12" t="inlineStr">
        <is>
          <t>SP 63  i=50  (IEC B14/B5 input flange, hollow output)</t>
        </is>
      </c>
      <c r="M27" s="13" t="inlineStr">
        <is>
          <t>— (motor power not specified in RFQ)</t>
        </is>
      </c>
      <c r="N27" s="11" t="n">
        <v>50</v>
      </c>
      <c r="O27" s="11" t="n">
        <v>28</v>
      </c>
      <c r="P27" s="11" t="n">
        <v>127</v>
      </c>
      <c r="Q27" s="13" t="inlineStr">
        <is>
          <t>P1 max 0.6 kW at Sf=1</t>
        </is>
      </c>
      <c r="R27" s="13" t="inlineStr">
        <is>
          <t>Reducer table n1=1400 rpm, Sf=1 (η 62%)</t>
        </is>
      </c>
      <c r="S27" s="13" t="inlineStr">
        <is>
          <t>Hollow shaft Ø25 H7, keyed</t>
        </is>
      </c>
      <c r="T27" s="13" t="inlineStr">
        <is>
          <t>IEC 71, 80, 90 (B14 or B5)</t>
        </is>
      </c>
      <c r="U27" s="13" t="inlineStr">
        <is>
          <t>FR/FL output flange; TR/TL torque arm; SR/SL/SD output shaft; oil 211 synthetic VG220 if required</t>
        </is>
      </c>
      <c r="V27" s="13" t="inlineStr">
        <is>
          <t>S-IRS-IRSD 2025: ratings p.61; dims p.77-78</t>
        </is>
      </c>
      <c r="W27" s="13" t="inlineStr">
        <is>
          <t>Direct size-for-size NMRV equivalent (same centre distance and hollow bore). Ratio is a standard catalogue ratio.</t>
        </is>
      </c>
      <c r="X27" s="14" t="inlineStr">
        <is>
          <t>S/SP 63</t>
        </is>
      </c>
      <c r="Y27" s="15" t="inlineStr">
        <is>
          <t>p.55 (S series aluminium worm gear units)</t>
        </is>
      </c>
      <c r="Z27" s="15" t="inlineStr">
        <is>
          <t>YES</t>
        </is>
      </c>
      <c r="AA27" s="15" t="inlineStr">
        <is>
          <t>Gearbox with IEC input flange (SP) and hollow output shaft</t>
        </is>
      </c>
      <c r="AB27" s="16" t="n">
        <v>175</v>
      </c>
      <c r="AC27" s="17">
        <f>$J27*AB27</f>
        <v/>
      </c>
      <c r="AD27" s="18">
        <f>ROUND(AB27*(1-$L$2),2)</f>
        <v/>
      </c>
      <c r="AE27" s="18">
        <f>$J27*AD27</f>
        <v/>
      </c>
      <c r="AF27" s="19" t="n">
        <v>10</v>
      </c>
      <c r="AG27" s="20">
        <f>ROUND(AF27*(1-$L$2),2)</f>
        <v/>
      </c>
      <c r="AH27" s="19" t="n">
        <v>15</v>
      </c>
      <c r="AI27" s="20">
        <f>ROUND(AH27*(1-$L$2),2)</f>
        <v/>
      </c>
      <c r="AJ27" s="19" t="n">
        <v>11</v>
      </c>
      <c r="AK27" s="20">
        <f>ROUND(AJ27*(1-$L$2),2)</f>
        <v/>
      </c>
      <c r="AL27" s="17" t="n"/>
      <c r="AM27" s="17" t="n"/>
      <c r="AN27" s="17" t="n"/>
      <c r="AO27" s="17" t="n"/>
      <c r="AP27" s="17">
        <f>SUM(AF27,AH27,AJ27,AL27,AN27)</f>
        <v/>
      </c>
      <c r="AQ27" s="17">
        <f>SUM(AG27,AI27,AK27,AM27,AO27)</f>
        <v/>
      </c>
      <c r="AR27" s="17">
        <f>$J27*AP27</f>
        <v/>
      </c>
      <c r="AS27" s="17">
        <f>$J27*AQ27</f>
        <v/>
      </c>
      <c r="AT27" s="17">
        <f>AB27+AP27</f>
        <v/>
      </c>
      <c r="AU27" s="18">
        <f>AD27+AQ27</f>
        <v/>
      </c>
      <c r="AV27" s="17">
        <f>$J27*AT27</f>
        <v/>
      </c>
      <c r="AW27" s="18">
        <f>$J27*AU27</f>
        <v/>
      </c>
      <c r="AX27" s="21" t="inlineStr"/>
      <c r="AY27" s="22" t="n"/>
    </row>
    <row r="28">
      <c r="A28" s="10" t="inlineStr">
        <is>
          <t>GB-024</t>
        </is>
      </c>
      <c r="B28" s="10" t="inlineStr">
        <is>
          <t>Worm Gearbox</t>
        </is>
      </c>
      <c r="C28" s="10" t="inlineStr">
        <is>
          <t>NMRV</t>
        </is>
      </c>
      <c r="D28" s="10" t="inlineStr">
        <is>
          <t>063</t>
        </is>
      </c>
      <c r="E28" s="10" t="n"/>
      <c r="F28" s="10" t="inlineStr">
        <is>
          <t>1:60</t>
        </is>
      </c>
      <c r="G28" s="10" t="inlineStr">
        <is>
          <t>Universal</t>
        </is>
      </c>
      <c r="H28" s="10" t="inlineStr">
        <is>
          <t>Hollow shaft, keyed</t>
        </is>
      </c>
      <c r="I28" s="10" t="inlineStr">
        <is>
          <t>IEC motor adaptor/input</t>
        </is>
      </c>
      <c r="J28" s="10" t="n">
        <v>2</v>
      </c>
      <c r="K28" s="11" t="inlineStr">
        <is>
          <t>S series (worm)</t>
        </is>
      </c>
      <c r="L28" s="12" t="inlineStr">
        <is>
          <t>SP 63  i=60  (IEC B14/B5 input flange, hollow output)</t>
        </is>
      </c>
      <c r="M28" s="13" t="inlineStr">
        <is>
          <t>— (motor power not specified in RFQ)</t>
        </is>
      </c>
      <c r="N28" s="11" t="n">
        <v>60</v>
      </c>
      <c r="O28" s="11" t="n">
        <v>23</v>
      </c>
      <c r="P28" s="11" t="n">
        <v>123</v>
      </c>
      <c r="Q28" s="13" t="inlineStr">
        <is>
          <t>P1 max 0.5 kW at Sf=1</t>
        </is>
      </c>
      <c r="R28" s="13" t="inlineStr">
        <is>
          <t>Reducer table n1=1400 rpm, Sf=1 (η 60%)</t>
        </is>
      </c>
      <c r="S28" s="13" t="inlineStr">
        <is>
          <t>Hollow shaft Ø25 H7, keyed</t>
        </is>
      </c>
      <c r="T28" s="13" t="inlineStr">
        <is>
          <t>IEC 71, 80, 90 (B14 or B5)</t>
        </is>
      </c>
      <c r="U28" s="13" t="inlineStr">
        <is>
          <t>FR/FL output flange; TR/TL torque arm; SR/SL/SD output shaft; oil 211 synthetic VG220 if required</t>
        </is>
      </c>
      <c r="V28" s="13" t="inlineStr">
        <is>
          <t>S-IRS-IRSD 2025: ratings p.61; dims p.77-78</t>
        </is>
      </c>
      <c r="W28" s="13" t="inlineStr">
        <is>
          <t>Direct size-for-size NMRV equivalent (same centre distance and hollow bore). Ratio is a standard catalogue ratio.</t>
        </is>
      </c>
      <c r="X28" s="14" t="inlineStr">
        <is>
          <t>S/SP 63</t>
        </is>
      </c>
      <c r="Y28" s="15" t="inlineStr">
        <is>
          <t>p.55 (S series aluminium worm gear units)</t>
        </is>
      </c>
      <c r="Z28" s="15" t="inlineStr">
        <is>
          <t>YES</t>
        </is>
      </c>
      <c r="AA28" s="15" t="inlineStr">
        <is>
          <t>Gearbox with IEC input flange (SP) and hollow output shaft</t>
        </is>
      </c>
      <c r="AB28" s="16" t="n">
        <v>175</v>
      </c>
      <c r="AC28" s="17">
        <f>$J28*AB28</f>
        <v/>
      </c>
      <c r="AD28" s="18">
        <f>ROUND(AB28*(1-$L$2),2)</f>
        <v/>
      </c>
      <c r="AE28" s="18">
        <f>$J28*AD28</f>
        <v/>
      </c>
      <c r="AF28" s="19" t="n">
        <v>10</v>
      </c>
      <c r="AG28" s="20">
        <f>ROUND(AF28*(1-$L$2),2)</f>
        <v/>
      </c>
      <c r="AH28" s="19" t="n">
        <v>15</v>
      </c>
      <c r="AI28" s="20">
        <f>ROUND(AH28*(1-$L$2),2)</f>
        <v/>
      </c>
      <c r="AJ28" s="19" t="n">
        <v>11</v>
      </c>
      <c r="AK28" s="20">
        <f>ROUND(AJ28*(1-$L$2),2)</f>
        <v/>
      </c>
      <c r="AL28" s="17" t="n"/>
      <c r="AM28" s="17" t="n"/>
      <c r="AN28" s="17" t="n"/>
      <c r="AO28" s="17" t="n"/>
      <c r="AP28" s="17">
        <f>SUM(AF28,AH28,AJ28,AL28,AN28)</f>
        <v/>
      </c>
      <c r="AQ28" s="17">
        <f>SUM(AG28,AI28,AK28,AM28,AO28)</f>
        <v/>
      </c>
      <c r="AR28" s="17">
        <f>$J28*AP28</f>
        <v/>
      </c>
      <c r="AS28" s="17">
        <f>$J28*AQ28</f>
        <v/>
      </c>
      <c r="AT28" s="17">
        <f>AB28+AP28</f>
        <v/>
      </c>
      <c r="AU28" s="18">
        <f>AD28+AQ28</f>
        <v/>
      </c>
      <c r="AV28" s="17">
        <f>$J28*AT28</f>
        <v/>
      </c>
      <c r="AW28" s="18">
        <f>$J28*AU28</f>
        <v/>
      </c>
      <c r="AX28" s="21" t="inlineStr"/>
      <c r="AY28" s="22" t="n"/>
    </row>
    <row r="29">
      <c r="A29" s="10" t="inlineStr">
        <is>
          <t>GB-025</t>
        </is>
      </c>
      <c r="B29" s="10" t="inlineStr">
        <is>
          <t>Worm Gearbox</t>
        </is>
      </c>
      <c r="C29" s="10" t="inlineStr">
        <is>
          <t>NMRV</t>
        </is>
      </c>
      <c r="D29" s="10" t="inlineStr">
        <is>
          <t>075</t>
        </is>
      </c>
      <c r="E29" s="10" t="n"/>
      <c r="F29" s="10" t="inlineStr">
        <is>
          <t>1:10</t>
        </is>
      </c>
      <c r="G29" s="10" t="inlineStr">
        <is>
          <t>Universal</t>
        </is>
      </c>
      <c r="H29" s="10" t="inlineStr">
        <is>
          <t>Hollow shaft, keyed</t>
        </is>
      </c>
      <c r="I29" s="10" t="inlineStr">
        <is>
          <t>IEC motor adaptor/input</t>
        </is>
      </c>
      <c r="J29" s="10" t="n">
        <v>4</v>
      </c>
      <c r="K29" s="11" t="inlineStr">
        <is>
          <t>S series (worm)</t>
        </is>
      </c>
      <c r="L29" s="12" t="inlineStr">
        <is>
          <t>SP 75  i=10  (IEC B14/B5 input flange, hollow output)</t>
        </is>
      </c>
      <c r="M29" s="13" t="inlineStr">
        <is>
          <t>— (motor power not specified in RFQ)</t>
        </is>
      </c>
      <c r="N29" s="11" t="n">
        <v>10</v>
      </c>
      <c r="O29" s="11" t="n">
        <v>140</v>
      </c>
      <c r="P29" s="11" t="n">
        <v>172</v>
      </c>
      <c r="Q29" s="13" t="inlineStr">
        <is>
          <t>P1 max 3.0 kW at Sf=1</t>
        </is>
      </c>
      <c r="R29" s="13" t="inlineStr">
        <is>
          <t>Reducer table n1=1400 rpm, Sf=1 (η 84%)</t>
        </is>
      </c>
      <c r="S29" s="13" t="inlineStr">
        <is>
          <t>Hollow shaft Ø28 H7, keyed</t>
        </is>
      </c>
      <c r="T29" s="13" t="inlineStr">
        <is>
          <t>IEC 80, 90, 100 (B14 or B5)</t>
        </is>
      </c>
      <c r="U29" s="13" t="inlineStr">
        <is>
          <t>FR/FL output flange; TR/TL torque arm; SR/SL/SD output shaft; oil 211 synthetic VG220 if required</t>
        </is>
      </c>
      <c r="V29" s="13" t="inlineStr">
        <is>
          <t>S-IRS-IRSD 2025: ratings p.62; dims p.79-80</t>
        </is>
      </c>
      <c r="W29" s="13" t="inlineStr">
        <is>
          <t>Direct size-for-size NMRV equivalent (same centre distance and hollow bore). Ratio is a standard catalogue ratio.</t>
        </is>
      </c>
      <c r="X29" s="14" t="inlineStr">
        <is>
          <t>S/SP 75</t>
        </is>
      </c>
      <c r="Y29" s="15" t="inlineStr">
        <is>
          <t>p.55 (S series aluminium worm gear units)</t>
        </is>
      </c>
      <c r="Z29" s="15" t="inlineStr">
        <is>
          <t>YES</t>
        </is>
      </c>
      <c r="AA29" s="15" t="inlineStr">
        <is>
          <t>Gearbox with IEC input flange (SP) and hollow output shaft</t>
        </is>
      </c>
      <c r="AB29" s="16" t="n">
        <v>222</v>
      </c>
      <c r="AC29" s="17">
        <f>$J29*AB29</f>
        <v/>
      </c>
      <c r="AD29" s="18">
        <f>ROUND(AB29*(1-$L$2),2)</f>
        <v/>
      </c>
      <c r="AE29" s="18">
        <f>$J29*AD29</f>
        <v/>
      </c>
      <c r="AF29" s="19" t="n">
        <v>15</v>
      </c>
      <c r="AG29" s="20">
        <f>ROUND(AF29*(1-$L$2),2)</f>
        <v/>
      </c>
      <c r="AH29" s="19" t="n">
        <v>25</v>
      </c>
      <c r="AI29" s="20">
        <f>ROUND(AH29*(1-$L$2),2)</f>
        <v/>
      </c>
      <c r="AJ29" s="19" t="n">
        <v>15</v>
      </c>
      <c r="AK29" s="20">
        <f>ROUND(AJ29*(1-$L$2),2)</f>
        <v/>
      </c>
      <c r="AL29" s="17" t="n"/>
      <c r="AM29" s="17" t="n"/>
      <c r="AN29" s="17" t="n"/>
      <c r="AO29" s="17" t="n"/>
      <c r="AP29" s="17">
        <f>SUM(AF29,AH29,AJ29,AL29,AN29)</f>
        <v/>
      </c>
      <c r="AQ29" s="17">
        <f>SUM(AG29,AI29,AK29,AM29,AO29)</f>
        <v/>
      </c>
      <c r="AR29" s="17">
        <f>$J29*AP29</f>
        <v/>
      </c>
      <c r="AS29" s="17">
        <f>$J29*AQ29</f>
        <v/>
      </c>
      <c r="AT29" s="17">
        <f>AB29+AP29</f>
        <v/>
      </c>
      <c r="AU29" s="18">
        <f>AD29+AQ29</f>
        <v/>
      </c>
      <c r="AV29" s="17">
        <f>$J29*AT29</f>
        <v/>
      </c>
      <c r="AW29" s="18">
        <f>$J29*AU29</f>
        <v/>
      </c>
      <c r="AX29" s="21" t="inlineStr"/>
      <c r="AY29" s="22" t="n"/>
    </row>
    <row r="30">
      <c r="A30" s="10" t="inlineStr">
        <is>
          <t>GB-026</t>
        </is>
      </c>
      <c r="B30" s="10" t="inlineStr">
        <is>
          <t>Worm Gearbox</t>
        </is>
      </c>
      <c r="C30" s="10" t="inlineStr">
        <is>
          <t>NMRV</t>
        </is>
      </c>
      <c r="D30" s="10" t="inlineStr">
        <is>
          <t>075</t>
        </is>
      </c>
      <c r="E30" s="10" t="n"/>
      <c r="F30" s="10" t="inlineStr">
        <is>
          <t>1:15</t>
        </is>
      </c>
      <c r="G30" s="10" t="inlineStr">
        <is>
          <t>Universal</t>
        </is>
      </c>
      <c r="H30" s="10" t="inlineStr">
        <is>
          <t>Hollow shaft, keyed</t>
        </is>
      </c>
      <c r="I30" s="10" t="inlineStr">
        <is>
          <t>IEC motor adaptor/input</t>
        </is>
      </c>
      <c r="J30" s="10" t="n">
        <v>3</v>
      </c>
      <c r="K30" s="11" t="inlineStr">
        <is>
          <t>S series (worm)</t>
        </is>
      </c>
      <c r="L30" s="12" t="inlineStr">
        <is>
          <t>SP 75  i=15  (IEC B14/B5 input flange, hollow output)</t>
        </is>
      </c>
      <c r="M30" s="13" t="inlineStr">
        <is>
          <t>— (motor power not specified in RFQ)</t>
        </is>
      </c>
      <c r="N30" s="11" t="n">
        <v>15</v>
      </c>
      <c r="O30" s="11" t="n">
        <v>93</v>
      </c>
      <c r="P30" s="11" t="n">
        <v>180</v>
      </c>
      <c r="Q30" s="13" t="inlineStr">
        <is>
          <t>P1 max 2.2 kW at Sf=1</t>
        </is>
      </c>
      <c r="R30" s="13" t="inlineStr">
        <is>
          <t>Reducer table n1=1400 rpm, Sf=1 (η 80%)</t>
        </is>
      </c>
      <c r="S30" s="13" t="inlineStr">
        <is>
          <t>Hollow shaft Ø28 H7, keyed</t>
        </is>
      </c>
      <c r="T30" s="13" t="inlineStr">
        <is>
          <t>IEC 80, 90, 100 (B14 or B5)</t>
        </is>
      </c>
      <c r="U30" s="13" t="inlineStr">
        <is>
          <t>FR/FL output flange; TR/TL torque arm; SR/SL/SD output shaft; oil 211 synthetic VG220 if required</t>
        </is>
      </c>
      <c r="V30" s="13" t="inlineStr">
        <is>
          <t>S-IRS-IRSD 2025: ratings p.62; dims p.79-80</t>
        </is>
      </c>
      <c r="W30" s="13" t="inlineStr">
        <is>
          <t>Direct size-for-size NMRV equivalent (same centre distance and hollow bore). Ratio is a standard catalogue ratio.</t>
        </is>
      </c>
      <c r="X30" s="14" t="inlineStr">
        <is>
          <t>S/SP 75</t>
        </is>
      </c>
      <c r="Y30" s="15" t="inlineStr">
        <is>
          <t>p.55 (S series aluminium worm gear units)</t>
        </is>
      </c>
      <c r="Z30" s="15" t="inlineStr">
        <is>
          <t>YES</t>
        </is>
      </c>
      <c r="AA30" s="15" t="inlineStr">
        <is>
          <t>Gearbox with IEC input flange (SP) and hollow output shaft</t>
        </is>
      </c>
      <c r="AB30" s="16" t="n">
        <v>222</v>
      </c>
      <c r="AC30" s="17">
        <f>$J30*AB30</f>
        <v/>
      </c>
      <c r="AD30" s="18">
        <f>ROUND(AB30*(1-$L$2),2)</f>
        <v/>
      </c>
      <c r="AE30" s="18">
        <f>$J30*AD30</f>
        <v/>
      </c>
      <c r="AF30" s="19" t="n">
        <v>15</v>
      </c>
      <c r="AG30" s="20">
        <f>ROUND(AF30*(1-$L$2),2)</f>
        <v/>
      </c>
      <c r="AH30" s="19" t="n">
        <v>25</v>
      </c>
      <c r="AI30" s="20">
        <f>ROUND(AH30*(1-$L$2),2)</f>
        <v/>
      </c>
      <c r="AJ30" s="19" t="n">
        <v>15</v>
      </c>
      <c r="AK30" s="20">
        <f>ROUND(AJ30*(1-$L$2),2)</f>
        <v/>
      </c>
      <c r="AL30" s="17" t="n"/>
      <c r="AM30" s="17" t="n"/>
      <c r="AN30" s="17" t="n"/>
      <c r="AO30" s="17" t="n"/>
      <c r="AP30" s="17">
        <f>SUM(AF30,AH30,AJ30,AL30,AN30)</f>
        <v/>
      </c>
      <c r="AQ30" s="17">
        <f>SUM(AG30,AI30,AK30,AM30,AO30)</f>
        <v/>
      </c>
      <c r="AR30" s="17">
        <f>$J30*AP30</f>
        <v/>
      </c>
      <c r="AS30" s="17">
        <f>$J30*AQ30</f>
        <v/>
      </c>
      <c r="AT30" s="17">
        <f>AB30+AP30</f>
        <v/>
      </c>
      <c r="AU30" s="18">
        <f>AD30+AQ30</f>
        <v/>
      </c>
      <c r="AV30" s="17">
        <f>$J30*AT30</f>
        <v/>
      </c>
      <c r="AW30" s="18">
        <f>$J30*AU30</f>
        <v/>
      </c>
      <c r="AX30" s="21" t="inlineStr"/>
      <c r="AY30" s="22" t="n"/>
    </row>
    <row r="31">
      <c r="A31" s="10" t="inlineStr">
        <is>
          <t>GB-027</t>
        </is>
      </c>
      <c r="B31" s="10" t="inlineStr">
        <is>
          <t>Worm Gearbox</t>
        </is>
      </c>
      <c r="C31" s="10" t="inlineStr">
        <is>
          <t>NMRV</t>
        </is>
      </c>
      <c r="D31" s="10" t="inlineStr">
        <is>
          <t>075</t>
        </is>
      </c>
      <c r="E31" s="10" t="n"/>
      <c r="F31" s="10" t="inlineStr">
        <is>
          <t>1:20</t>
        </is>
      </c>
      <c r="G31" s="10" t="inlineStr">
        <is>
          <t>Universal</t>
        </is>
      </c>
      <c r="H31" s="10" t="inlineStr">
        <is>
          <t>Hollow shaft, keyed</t>
        </is>
      </c>
      <c r="I31" s="10" t="inlineStr">
        <is>
          <t>IEC motor adaptor/input</t>
        </is>
      </c>
      <c r="J31" s="10" t="n">
        <v>4</v>
      </c>
      <c r="K31" s="11" t="inlineStr">
        <is>
          <t>S series (worm)</t>
        </is>
      </c>
      <c r="L31" s="12" t="inlineStr">
        <is>
          <t>SP 75  i=20  (IEC B14/B5 input flange, hollow output)</t>
        </is>
      </c>
      <c r="M31" s="13" t="inlineStr">
        <is>
          <t>— (motor power not specified in RFQ)</t>
        </is>
      </c>
      <c r="N31" s="11" t="n">
        <v>20</v>
      </c>
      <c r="O31" s="11" t="n">
        <v>70</v>
      </c>
      <c r="P31" s="11" t="n">
        <v>192</v>
      </c>
      <c r="Q31" s="13" t="inlineStr">
        <is>
          <t>P1 max 1.8 kW at Sf=1</t>
        </is>
      </c>
      <c r="R31" s="13" t="inlineStr">
        <is>
          <t>Reducer table n1=1400 rpm, Sf=1 (η 78%)</t>
        </is>
      </c>
      <c r="S31" s="13" t="inlineStr">
        <is>
          <t>Hollow shaft Ø28 H7, keyed</t>
        </is>
      </c>
      <c r="T31" s="13" t="inlineStr">
        <is>
          <t>IEC 80, 90, 100 (B14 or B5)</t>
        </is>
      </c>
      <c r="U31" s="13" t="inlineStr">
        <is>
          <t>FR/FL output flange; TR/TL torque arm; SR/SL/SD output shaft; oil 211 synthetic VG220 if required</t>
        </is>
      </c>
      <c r="V31" s="13" t="inlineStr">
        <is>
          <t>S-IRS-IRSD 2025: ratings p.62; dims p.79-80</t>
        </is>
      </c>
      <c r="W31" s="13" t="inlineStr">
        <is>
          <t>Direct size-for-size NMRV equivalent (same centre distance and hollow bore). Ratio is a standard catalogue ratio.</t>
        </is>
      </c>
      <c r="X31" s="14" t="inlineStr">
        <is>
          <t>S/SP 75</t>
        </is>
      </c>
      <c r="Y31" s="15" t="inlineStr">
        <is>
          <t>p.55 (S series aluminium worm gear units)</t>
        </is>
      </c>
      <c r="Z31" s="15" t="inlineStr">
        <is>
          <t>YES</t>
        </is>
      </c>
      <c r="AA31" s="15" t="inlineStr">
        <is>
          <t>Gearbox with IEC input flange (SP) and hollow output shaft</t>
        </is>
      </c>
      <c r="AB31" s="16" t="n">
        <v>222</v>
      </c>
      <c r="AC31" s="17">
        <f>$J31*AB31</f>
        <v/>
      </c>
      <c r="AD31" s="18">
        <f>ROUND(AB31*(1-$L$2),2)</f>
        <v/>
      </c>
      <c r="AE31" s="18">
        <f>$J31*AD31</f>
        <v/>
      </c>
      <c r="AF31" s="19" t="n">
        <v>15</v>
      </c>
      <c r="AG31" s="20">
        <f>ROUND(AF31*(1-$L$2),2)</f>
        <v/>
      </c>
      <c r="AH31" s="19" t="n">
        <v>25</v>
      </c>
      <c r="AI31" s="20">
        <f>ROUND(AH31*(1-$L$2),2)</f>
        <v/>
      </c>
      <c r="AJ31" s="19" t="n">
        <v>15</v>
      </c>
      <c r="AK31" s="20">
        <f>ROUND(AJ31*(1-$L$2),2)</f>
        <v/>
      </c>
      <c r="AL31" s="17" t="n"/>
      <c r="AM31" s="17" t="n"/>
      <c r="AN31" s="17" t="n"/>
      <c r="AO31" s="17" t="n"/>
      <c r="AP31" s="17">
        <f>SUM(AF31,AH31,AJ31,AL31,AN31)</f>
        <v/>
      </c>
      <c r="AQ31" s="17">
        <f>SUM(AG31,AI31,AK31,AM31,AO31)</f>
        <v/>
      </c>
      <c r="AR31" s="17">
        <f>$J31*AP31</f>
        <v/>
      </c>
      <c r="AS31" s="17">
        <f>$J31*AQ31</f>
        <v/>
      </c>
      <c r="AT31" s="17">
        <f>AB31+AP31</f>
        <v/>
      </c>
      <c r="AU31" s="18">
        <f>AD31+AQ31</f>
        <v/>
      </c>
      <c r="AV31" s="17">
        <f>$J31*AT31</f>
        <v/>
      </c>
      <c r="AW31" s="18">
        <f>$J31*AU31</f>
        <v/>
      </c>
      <c r="AX31" s="21" t="inlineStr"/>
      <c r="AY31" s="22" t="n"/>
    </row>
    <row r="32">
      <c r="A32" s="10" t="inlineStr">
        <is>
          <t>GB-028</t>
        </is>
      </c>
      <c r="B32" s="10" t="inlineStr">
        <is>
          <t>Worm Gearbox</t>
        </is>
      </c>
      <c r="C32" s="10" t="inlineStr">
        <is>
          <t>NMRV</t>
        </is>
      </c>
      <c r="D32" s="10" t="inlineStr">
        <is>
          <t>075</t>
        </is>
      </c>
      <c r="E32" s="10" t="n"/>
      <c r="F32" s="10" t="inlineStr">
        <is>
          <t>1:25</t>
        </is>
      </c>
      <c r="G32" s="10" t="inlineStr">
        <is>
          <t>Universal</t>
        </is>
      </c>
      <c r="H32" s="10" t="inlineStr">
        <is>
          <t>Hollow shaft, keyed</t>
        </is>
      </c>
      <c r="I32" s="10" t="inlineStr">
        <is>
          <t>IEC motor adaptor/input</t>
        </is>
      </c>
      <c r="J32" s="10" t="n">
        <v>2</v>
      </c>
      <c r="K32" s="11" t="inlineStr">
        <is>
          <t>S series (worm)</t>
        </is>
      </c>
      <c r="L32" s="12" t="inlineStr">
        <is>
          <t>SP 75  i=25  (IEC B14/B5 input flange, hollow output)</t>
        </is>
      </c>
      <c r="M32" s="13" t="inlineStr">
        <is>
          <t>— (motor power not specified in RFQ)</t>
        </is>
      </c>
      <c r="N32" s="11" t="n">
        <v>25</v>
      </c>
      <c r="O32" s="11" t="n">
        <v>56</v>
      </c>
      <c r="P32" s="11" t="n">
        <v>194</v>
      </c>
      <c r="Q32" s="13" t="inlineStr">
        <is>
          <t>P1 max 1.5 kW at Sf=1</t>
        </is>
      </c>
      <c r="R32" s="13" t="inlineStr">
        <is>
          <t>Reducer table n1=1400 rpm, Sf=1 (η 76%)</t>
        </is>
      </c>
      <c r="S32" s="13" t="inlineStr">
        <is>
          <t>Hollow shaft Ø28 H7, keyed</t>
        </is>
      </c>
      <c r="T32" s="13" t="inlineStr">
        <is>
          <t>IEC 80, 90, 100 (B14 or B5)</t>
        </is>
      </c>
      <c r="U32" s="13" t="inlineStr">
        <is>
          <t>FR/FL output flange; TR/TL torque arm; SR/SL/SD output shaft; oil 211 synthetic VG220 if required</t>
        </is>
      </c>
      <c r="V32" s="13" t="inlineStr">
        <is>
          <t>S-IRS-IRSD 2025: ratings p.62; dims p.79-80</t>
        </is>
      </c>
      <c r="W32" s="13" t="inlineStr">
        <is>
          <t>Direct size-for-size NMRV equivalent (same centre distance and hollow bore). Ratio is a standard catalogue ratio.</t>
        </is>
      </c>
      <c r="X32" s="14" t="inlineStr">
        <is>
          <t>S/SP 75</t>
        </is>
      </c>
      <c r="Y32" s="15" t="inlineStr">
        <is>
          <t>p.55 (S series aluminium worm gear units)</t>
        </is>
      </c>
      <c r="Z32" s="15" t="inlineStr">
        <is>
          <t>YES</t>
        </is>
      </c>
      <c r="AA32" s="15" t="inlineStr">
        <is>
          <t>Gearbox with IEC input flange (SP) and hollow output shaft</t>
        </is>
      </c>
      <c r="AB32" s="16" t="n">
        <v>222</v>
      </c>
      <c r="AC32" s="17">
        <f>$J32*AB32</f>
        <v/>
      </c>
      <c r="AD32" s="18">
        <f>ROUND(AB32*(1-$L$2),2)</f>
        <v/>
      </c>
      <c r="AE32" s="18">
        <f>$J32*AD32</f>
        <v/>
      </c>
      <c r="AF32" s="19" t="n">
        <v>15</v>
      </c>
      <c r="AG32" s="20">
        <f>ROUND(AF32*(1-$L$2),2)</f>
        <v/>
      </c>
      <c r="AH32" s="19" t="n">
        <v>25</v>
      </c>
      <c r="AI32" s="20">
        <f>ROUND(AH32*(1-$L$2),2)</f>
        <v/>
      </c>
      <c r="AJ32" s="19" t="n">
        <v>15</v>
      </c>
      <c r="AK32" s="20">
        <f>ROUND(AJ32*(1-$L$2),2)</f>
        <v/>
      </c>
      <c r="AL32" s="17" t="n"/>
      <c r="AM32" s="17" t="n"/>
      <c r="AN32" s="17" t="n"/>
      <c r="AO32" s="17" t="n"/>
      <c r="AP32" s="17">
        <f>SUM(AF32,AH32,AJ32,AL32,AN32)</f>
        <v/>
      </c>
      <c r="AQ32" s="17">
        <f>SUM(AG32,AI32,AK32,AM32,AO32)</f>
        <v/>
      </c>
      <c r="AR32" s="17">
        <f>$J32*AP32</f>
        <v/>
      </c>
      <c r="AS32" s="17">
        <f>$J32*AQ32</f>
        <v/>
      </c>
      <c r="AT32" s="17">
        <f>AB32+AP32</f>
        <v/>
      </c>
      <c r="AU32" s="18">
        <f>AD32+AQ32</f>
        <v/>
      </c>
      <c r="AV32" s="17">
        <f>$J32*AT32</f>
        <v/>
      </c>
      <c r="AW32" s="18">
        <f>$J32*AU32</f>
        <v/>
      </c>
      <c r="AX32" s="21" t="inlineStr"/>
      <c r="AY32" s="22" t="n"/>
    </row>
    <row r="33">
      <c r="A33" s="10" t="inlineStr">
        <is>
          <t>GB-029</t>
        </is>
      </c>
      <c r="B33" s="10" t="inlineStr">
        <is>
          <t>Worm Gearbox</t>
        </is>
      </c>
      <c r="C33" s="10" t="inlineStr">
        <is>
          <t>NMRV</t>
        </is>
      </c>
      <c r="D33" s="10" t="inlineStr">
        <is>
          <t>075</t>
        </is>
      </c>
      <c r="E33" s="10" t="n"/>
      <c r="F33" s="10" t="inlineStr">
        <is>
          <t>1:30</t>
        </is>
      </c>
      <c r="G33" s="10" t="inlineStr">
        <is>
          <t>Universal</t>
        </is>
      </c>
      <c r="H33" s="10" t="inlineStr">
        <is>
          <t>Hollow shaft, keyed</t>
        </is>
      </c>
      <c r="I33" s="10" t="inlineStr">
        <is>
          <t>IEC motor adaptor/input</t>
        </is>
      </c>
      <c r="J33" s="10" t="n">
        <v>4</v>
      </c>
      <c r="K33" s="11" t="inlineStr">
        <is>
          <t>S series (worm)</t>
        </is>
      </c>
      <c r="L33" s="12" t="inlineStr">
        <is>
          <t>SP 75  i=30  (IEC B14/B5 input flange, hollow output)</t>
        </is>
      </c>
      <c r="M33" s="13" t="inlineStr">
        <is>
          <t>— (motor power not specified in RFQ)</t>
        </is>
      </c>
      <c r="N33" s="11" t="n">
        <v>30</v>
      </c>
      <c r="O33" s="11" t="n">
        <v>47</v>
      </c>
      <c r="P33" s="11" t="n">
        <v>221</v>
      </c>
      <c r="Q33" s="13" t="inlineStr">
        <is>
          <t>P1 max 1.5 kW at Sf=1</t>
        </is>
      </c>
      <c r="R33" s="13" t="inlineStr">
        <is>
          <t>Reducer table n1=1400 rpm, Sf=1 (η 72%)</t>
        </is>
      </c>
      <c r="S33" s="13" t="inlineStr">
        <is>
          <t>Hollow shaft Ø28 H7, keyed</t>
        </is>
      </c>
      <c r="T33" s="13" t="inlineStr">
        <is>
          <t>IEC 80, 90, 100 (B14 or B5)</t>
        </is>
      </c>
      <c r="U33" s="13" t="inlineStr">
        <is>
          <t>FR/FL output flange; TR/TL torque arm; SR/SL/SD output shaft; oil 211 synthetic VG220 if required</t>
        </is>
      </c>
      <c r="V33" s="13" t="inlineStr">
        <is>
          <t>S-IRS-IRSD 2025: ratings p.62; dims p.79-80</t>
        </is>
      </c>
      <c r="W33" s="13" t="inlineStr">
        <is>
          <t>Direct size-for-size NMRV equivalent (same centre distance and hollow bore). Ratio is a standard catalogue ratio.</t>
        </is>
      </c>
      <c r="X33" s="14" t="inlineStr">
        <is>
          <t>S/SP 75</t>
        </is>
      </c>
      <c r="Y33" s="15" t="inlineStr">
        <is>
          <t>p.55 (S series aluminium worm gear units)</t>
        </is>
      </c>
      <c r="Z33" s="15" t="inlineStr">
        <is>
          <t>YES</t>
        </is>
      </c>
      <c r="AA33" s="15" t="inlineStr">
        <is>
          <t>Gearbox with IEC input flange (SP) and hollow output shaft</t>
        </is>
      </c>
      <c r="AB33" s="16" t="n">
        <v>222</v>
      </c>
      <c r="AC33" s="17">
        <f>$J33*AB33</f>
        <v/>
      </c>
      <c r="AD33" s="18">
        <f>ROUND(AB33*(1-$L$2),2)</f>
        <v/>
      </c>
      <c r="AE33" s="18">
        <f>$J33*AD33</f>
        <v/>
      </c>
      <c r="AF33" s="19" t="n">
        <v>15</v>
      </c>
      <c r="AG33" s="20">
        <f>ROUND(AF33*(1-$L$2),2)</f>
        <v/>
      </c>
      <c r="AH33" s="19" t="n">
        <v>25</v>
      </c>
      <c r="AI33" s="20">
        <f>ROUND(AH33*(1-$L$2),2)</f>
        <v/>
      </c>
      <c r="AJ33" s="19" t="n">
        <v>15</v>
      </c>
      <c r="AK33" s="20">
        <f>ROUND(AJ33*(1-$L$2),2)</f>
        <v/>
      </c>
      <c r="AL33" s="17" t="n"/>
      <c r="AM33" s="17" t="n"/>
      <c r="AN33" s="17" t="n"/>
      <c r="AO33" s="17" t="n"/>
      <c r="AP33" s="17">
        <f>SUM(AF33,AH33,AJ33,AL33,AN33)</f>
        <v/>
      </c>
      <c r="AQ33" s="17">
        <f>SUM(AG33,AI33,AK33,AM33,AO33)</f>
        <v/>
      </c>
      <c r="AR33" s="17">
        <f>$J33*AP33</f>
        <v/>
      </c>
      <c r="AS33" s="17">
        <f>$J33*AQ33</f>
        <v/>
      </c>
      <c r="AT33" s="17">
        <f>AB33+AP33</f>
        <v/>
      </c>
      <c r="AU33" s="18">
        <f>AD33+AQ33</f>
        <v/>
      </c>
      <c r="AV33" s="17">
        <f>$J33*AT33</f>
        <v/>
      </c>
      <c r="AW33" s="18">
        <f>$J33*AU33</f>
        <v/>
      </c>
      <c r="AX33" s="21" t="inlineStr"/>
      <c r="AY33" s="22" t="n"/>
    </row>
    <row r="34">
      <c r="A34" s="10" t="inlineStr">
        <is>
          <t>GB-030</t>
        </is>
      </c>
      <c r="B34" s="10" t="inlineStr">
        <is>
          <t>Worm Gearbox</t>
        </is>
      </c>
      <c r="C34" s="10" t="inlineStr">
        <is>
          <t>NMRV</t>
        </is>
      </c>
      <c r="D34" s="10" t="inlineStr">
        <is>
          <t>075</t>
        </is>
      </c>
      <c r="E34" s="10" t="n"/>
      <c r="F34" s="10" t="inlineStr">
        <is>
          <t>1:40</t>
        </is>
      </c>
      <c r="G34" s="10" t="inlineStr">
        <is>
          <t>Universal</t>
        </is>
      </c>
      <c r="H34" s="10" t="inlineStr">
        <is>
          <t>Hollow shaft, keyed</t>
        </is>
      </c>
      <c r="I34" s="10" t="inlineStr">
        <is>
          <t>IEC motor adaptor/input</t>
        </is>
      </c>
      <c r="J34" s="10" t="n">
        <v>3</v>
      </c>
      <c r="K34" s="11" t="inlineStr">
        <is>
          <t>S series (worm)</t>
        </is>
      </c>
      <c r="L34" s="12" t="inlineStr">
        <is>
          <t>SP 75  i=40  (IEC B14/B5 input flange, hollow output)</t>
        </is>
      </c>
      <c r="M34" s="13" t="inlineStr">
        <is>
          <t>— (motor power not specified in RFQ)</t>
        </is>
      </c>
      <c r="N34" s="11" t="n">
        <v>40</v>
      </c>
      <c r="O34" s="11" t="n">
        <v>35</v>
      </c>
      <c r="P34" s="11" t="n">
        <v>201</v>
      </c>
      <c r="Q34" s="13" t="inlineStr">
        <is>
          <t>P1 max 1.1 kW at Sf=1</t>
        </is>
      </c>
      <c r="R34" s="13" t="inlineStr">
        <is>
          <t>Reducer table n1=1400 rpm, Sf=1 (η 67%)</t>
        </is>
      </c>
      <c r="S34" s="13" t="inlineStr">
        <is>
          <t>Hollow shaft Ø28 H7, keyed</t>
        </is>
      </c>
      <c r="T34" s="13" t="inlineStr">
        <is>
          <t>IEC 80, 90, 100 (B14 or B5)</t>
        </is>
      </c>
      <c r="U34" s="13" t="inlineStr">
        <is>
          <t>FR/FL output flange; TR/TL torque arm; SR/SL/SD output shaft; oil 211 synthetic VG220 if required</t>
        </is>
      </c>
      <c r="V34" s="13" t="inlineStr">
        <is>
          <t>S-IRS-IRSD 2025: ratings p.61; dims p.79-80</t>
        </is>
      </c>
      <c r="W34" s="13" t="inlineStr">
        <is>
          <t>Direct size-for-size NMRV equivalent (same centre distance and hollow bore). Ratio is a standard catalogue ratio.</t>
        </is>
      </c>
      <c r="X34" s="14" t="inlineStr">
        <is>
          <t>S/SP 75</t>
        </is>
      </c>
      <c r="Y34" s="15" t="inlineStr">
        <is>
          <t>p.55 (S series aluminium worm gear units)</t>
        </is>
      </c>
      <c r="Z34" s="15" t="inlineStr">
        <is>
          <t>YES</t>
        </is>
      </c>
      <c r="AA34" s="15" t="inlineStr">
        <is>
          <t>Gearbox with IEC input flange (SP) and hollow output shaft</t>
        </is>
      </c>
      <c r="AB34" s="16" t="n">
        <v>222</v>
      </c>
      <c r="AC34" s="17">
        <f>$J34*AB34</f>
        <v/>
      </c>
      <c r="AD34" s="18">
        <f>ROUND(AB34*(1-$L$2),2)</f>
        <v/>
      </c>
      <c r="AE34" s="18">
        <f>$J34*AD34</f>
        <v/>
      </c>
      <c r="AF34" s="19" t="n">
        <v>15</v>
      </c>
      <c r="AG34" s="20">
        <f>ROUND(AF34*(1-$L$2),2)</f>
        <v/>
      </c>
      <c r="AH34" s="19" t="n">
        <v>25</v>
      </c>
      <c r="AI34" s="20">
        <f>ROUND(AH34*(1-$L$2),2)</f>
        <v/>
      </c>
      <c r="AJ34" s="19" t="n">
        <v>15</v>
      </c>
      <c r="AK34" s="20">
        <f>ROUND(AJ34*(1-$L$2),2)</f>
        <v/>
      </c>
      <c r="AL34" s="17" t="n"/>
      <c r="AM34" s="17" t="n"/>
      <c r="AN34" s="17" t="n"/>
      <c r="AO34" s="17" t="n"/>
      <c r="AP34" s="17">
        <f>SUM(AF34,AH34,AJ34,AL34,AN34)</f>
        <v/>
      </c>
      <c r="AQ34" s="17">
        <f>SUM(AG34,AI34,AK34,AM34,AO34)</f>
        <v/>
      </c>
      <c r="AR34" s="17">
        <f>$J34*AP34</f>
        <v/>
      </c>
      <c r="AS34" s="17">
        <f>$J34*AQ34</f>
        <v/>
      </c>
      <c r="AT34" s="17">
        <f>AB34+AP34</f>
        <v/>
      </c>
      <c r="AU34" s="18">
        <f>AD34+AQ34</f>
        <v/>
      </c>
      <c r="AV34" s="17">
        <f>$J34*AT34</f>
        <v/>
      </c>
      <c r="AW34" s="18">
        <f>$J34*AU34</f>
        <v/>
      </c>
      <c r="AX34" s="21" t="inlineStr"/>
      <c r="AY34" s="22" t="n"/>
    </row>
    <row r="35">
      <c r="A35" s="10" t="inlineStr">
        <is>
          <t>GB-031</t>
        </is>
      </c>
      <c r="B35" s="10" t="inlineStr">
        <is>
          <t>Worm Gearbox</t>
        </is>
      </c>
      <c r="C35" s="10" t="inlineStr">
        <is>
          <t>NMRV</t>
        </is>
      </c>
      <c r="D35" s="10" t="inlineStr">
        <is>
          <t>075</t>
        </is>
      </c>
      <c r="E35" s="10" t="n"/>
      <c r="F35" s="10" t="inlineStr">
        <is>
          <t>1:50</t>
        </is>
      </c>
      <c r="G35" s="10" t="inlineStr">
        <is>
          <t>Universal</t>
        </is>
      </c>
      <c r="H35" s="10" t="inlineStr">
        <is>
          <t>Hollow shaft, keyed</t>
        </is>
      </c>
      <c r="I35" s="10" t="inlineStr">
        <is>
          <t>IEC motor adaptor/input</t>
        </is>
      </c>
      <c r="J35" s="10" t="n">
        <v>3</v>
      </c>
      <c r="K35" s="11" t="inlineStr">
        <is>
          <t>S series (worm)</t>
        </is>
      </c>
      <c r="L35" s="12" t="inlineStr">
        <is>
          <t>SP 75  i=50  (IEC B14/B5 input flange, hollow output)</t>
        </is>
      </c>
      <c r="M35" s="13" t="inlineStr">
        <is>
          <t>— (motor power not specified in RFQ)</t>
        </is>
      </c>
      <c r="N35" s="11" t="n">
        <v>50</v>
      </c>
      <c r="O35" s="11" t="n">
        <v>28</v>
      </c>
      <c r="P35" s="11" t="n">
        <v>183</v>
      </c>
      <c r="Q35" s="13" t="inlineStr">
        <is>
          <t>P1 max 0.85 kW at Sf=1</t>
        </is>
      </c>
      <c r="R35" s="13" t="inlineStr">
        <is>
          <t>Reducer table n1=1400 rpm, Sf=1 (η 63%)</t>
        </is>
      </c>
      <c r="S35" s="13" t="inlineStr">
        <is>
          <t>Hollow shaft Ø28 H7, keyed</t>
        </is>
      </c>
      <c r="T35" s="13" t="inlineStr">
        <is>
          <t>IEC 80, 90, 100 (B14 or B5)</t>
        </is>
      </c>
      <c r="U35" s="13" t="inlineStr">
        <is>
          <t>FR/FL output flange; TR/TL torque arm; SR/SL/SD output shaft; oil 211 synthetic VG220 if required</t>
        </is>
      </c>
      <c r="V35" s="13" t="inlineStr">
        <is>
          <t>S-IRS-IRSD 2025: ratings p.61; dims p.79-80</t>
        </is>
      </c>
      <c r="W35" s="13" t="inlineStr">
        <is>
          <t>Direct size-for-size NMRV equivalent (same centre distance and hollow bore). Ratio is a standard catalogue ratio.</t>
        </is>
      </c>
      <c r="X35" s="14" t="inlineStr">
        <is>
          <t>S/SP 75</t>
        </is>
      </c>
      <c r="Y35" s="15" t="inlineStr">
        <is>
          <t>p.55 (S series aluminium worm gear units)</t>
        </is>
      </c>
      <c r="Z35" s="15" t="inlineStr">
        <is>
          <t>YES</t>
        </is>
      </c>
      <c r="AA35" s="15" t="inlineStr">
        <is>
          <t>Gearbox with IEC input flange (SP) and hollow output shaft</t>
        </is>
      </c>
      <c r="AB35" s="16" t="n">
        <v>222</v>
      </c>
      <c r="AC35" s="17">
        <f>$J35*AB35</f>
        <v/>
      </c>
      <c r="AD35" s="18">
        <f>ROUND(AB35*(1-$L$2),2)</f>
        <v/>
      </c>
      <c r="AE35" s="18">
        <f>$J35*AD35</f>
        <v/>
      </c>
      <c r="AF35" s="19" t="n">
        <v>15</v>
      </c>
      <c r="AG35" s="20">
        <f>ROUND(AF35*(1-$L$2),2)</f>
        <v/>
      </c>
      <c r="AH35" s="19" t="n">
        <v>25</v>
      </c>
      <c r="AI35" s="20">
        <f>ROUND(AH35*(1-$L$2),2)</f>
        <v/>
      </c>
      <c r="AJ35" s="19" t="n">
        <v>15</v>
      </c>
      <c r="AK35" s="20">
        <f>ROUND(AJ35*(1-$L$2),2)</f>
        <v/>
      </c>
      <c r="AL35" s="17" t="n"/>
      <c r="AM35" s="17" t="n"/>
      <c r="AN35" s="17" t="n"/>
      <c r="AO35" s="17" t="n"/>
      <c r="AP35" s="17">
        <f>SUM(AF35,AH35,AJ35,AL35,AN35)</f>
        <v/>
      </c>
      <c r="AQ35" s="17">
        <f>SUM(AG35,AI35,AK35,AM35,AO35)</f>
        <v/>
      </c>
      <c r="AR35" s="17">
        <f>$J35*AP35</f>
        <v/>
      </c>
      <c r="AS35" s="17">
        <f>$J35*AQ35</f>
        <v/>
      </c>
      <c r="AT35" s="17">
        <f>AB35+AP35</f>
        <v/>
      </c>
      <c r="AU35" s="18">
        <f>AD35+AQ35</f>
        <v/>
      </c>
      <c r="AV35" s="17">
        <f>$J35*AT35</f>
        <v/>
      </c>
      <c r="AW35" s="18">
        <f>$J35*AU35</f>
        <v/>
      </c>
      <c r="AX35" s="21" t="inlineStr"/>
      <c r="AY35" s="22" t="n"/>
    </row>
    <row r="36">
      <c r="A36" s="10" t="inlineStr">
        <is>
          <t>GB-032</t>
        </is>
      </c>
      <c r="B36" s="10" t="inlineStr">
        <is>
          <t>Worm Gearbox</t>
        </is>
      </c>
      <c r="C36" s="10" t="inlineStr">
        <is>
          <t>NMRV</t>
        </is>
      </c>
      <c r="D36" s="10" t="inlineStr">
        <is>
          <t>075</t>
        </is>
      </c>
      <c r="E36" s="10" t="n"/>
      <c r="F36" s="10" t="inlineStr">
        <is>
          <t>1:60</t>
        </is>
      </c>
      <c r="G36" s="10" t="inlineStr">
        <is>
          <t>Universal</t>
        </is>
      </c>
      <c r="H36" s="10" t="inlineStr">
        <is>
          <t>Hollow shaft, keyed</t>
        </is>
      </c>
      <c r="I36" s="10" t="inlineStr">
        <is>
          <t>IEC motor adaptor/input</t>
        </is>
      </c>
      <c r="J36" s="10" t="n">
        <v>2</v>
      </c>
      <c r="K36" s="11" t="inlineStr">
        <is>
          <t>S series (worm)</t>
        </is>
      </c>
      <c r="L36" s="12" t="inlineStr">
        <is>
          <t>SP 75  i=60  (IEC B14/B5 input flange, hollow output)</t>
        </is>
      </c>
      <c r="M36" s="13" t="inlineStr">
        <is>
          <t>— (motor power not specified in RFQ)</t>
        </is>
      </c>
      <c r="N36" s="11" t="n">
        <v>60</v>
      </c>
      <c r="O36" s="11" t="n">
        <v>23</v>
      </c>
      <c r="P36" s="11" t="n">
        <v>184</v>
      </c>
      <c r="Q36" s="13" t="inlineStr">
        <is>
          <t>P1 max 0.75 kW at Sf=1</t>
        </is>
      </c>
      <c r="R36" s="13" t="inlineStr">
        <is>
          <t>Reducer table n1=1400 rpm, Sf=1 (η 60%)</t>
        </is>
      </c>
      <c r="S36" s="13" t="inlineStr">
        <is>
          <t>Hollow shaft Ø28 H7, keyed</t>
        </is>
      </c>
      <c r="T36" s="13" t="inlineStr">
        <is>
          <t>IEC 80, 90, 100 (B14 or B5)</t>
        </is>
      </c>
      <c r="U36" s="13" t="inlineStr">
        <is>
          <t>FR/FL output flange; TR/TL torque arm; SR/SL/SD output shaft; oil 211 synthetic VG220 if required</t>
        </is>
      </c>
      <c r="V36" s="13" t="inlineStr">
        <is>
          <t>S-IRS-IRSD 2025: ratings p.61; dims p.79-80</t>
        </is>
      </c>
      <c r="W36" s="13" t="inlineStr">
        <is>
          <t>Direct size-for-size NMRV equivalent (same centre distance and hollow bore). Ratio is a standard catalogue ratio.</t>
        </is>
      </c>
      <c r="X36" s="14" t="inlineStr">
        <is>
          <t>S/SP 75</t>
        </is>
      </c>
      <c r="Y36" s="15" t="inlineStr">
        <is>
          <t>p.55 (S series aluminium worm gear units)</t>
        </is>
      </c>
      <c r="Z36" s="15" t="inlineStr">
        <is>
          <t>YES</t>
        </is>
      </c>
      <c r="AA36" s="15" t="inlineStr">
        <is>
          <t>Gearbox with IEC input flange (SP) and hollow output shaft</t>
        </is>
      </c>
      <c r="AB36" s="16" t="n">
        <v>222</v>
      </c>
      <c r="AC36" s="17">
        <f>$J36*AB36</f>
        <v/>
      </c>
      <c r="AD36" s="18">
        <f>ROUND(AB36*(1-$L$2),2)</f>
        <v/>
      </c>
      <c r="AE36" s="18">
        <f>$J36*AD36</f>
        <v/>
      </c>
      <c r="AF36" s="19" t="n">
        <v>15</v>
      </c>
      <c r="AG36" s="20">
        <f>ROUND(AF36*(1-$L$2),2)</f>
        <v/>
      </c>
      <c r="AH36" s="19" t="n">
        <v>25</v>
      </c>
      <c r="AI36" s="20">
        <f>ROUND(AH36*(1-$L$2),2)</f>
        <v/>
      </c>
      <c r="AJ36" s="19" t="n">
        <v>15</v>
      </c>
      <c r="AK36" s="20">
        <f>ROUND(AJ36*(1-$L$2),2)</f>
        <v/>
      </c>
      <c r="AL36" s="17" t="n"/>
      <c r="AM36" s="17" t="n"/>
      <c r="AN36" s="17" t="n"/>
      <c r="AO36" s="17" t="n"/>
      <c r="AP36" s="17">
        <f>SUM(AF36,AH36,AJ36,AL36,AN36)</f>
        <v/>
      </c>
      <c r="AQ36" s="17">
        <f>SUM(AG36,AI36,AK36,AM36,AO36)</f>
        <v/>
      </c>
      <c r="AR36" s="17">
        <f>$J36*AP36</f>
        <v/>
      </c>
      <c r="AS36" s="17">
        <f>$J36*AQ36</f>
        <v/>
      </c>
      <c r="AT36" s="17">
        <f>AB36+AP36</f>
        <v/>
      </c>
      <c r="AU36" s="18">
        <f>AD36+AQ36</f>
        <v/>
      </c>
      <c r="AV36" s="17">
        <f>$J36*AT36</f>
        <v/>
      </c>
      <c r="AW36" s="18">
        <f>$J36*AU36</f>
        <v/>
      </c>
      <c r="AX36" s="21" t="inlineStr"/>
      <c r="AY36" s="22" t="n"/>
    </row>
    <row r="37">
      <c r="A37" s="10" t="inlineStr">
        <is>
          <t>GB-033</t>
        </is>
      </c>
      <c r="B37" s="10" t="inlineStr">
        <is>
          <t>Worm Gearbox</t>
        </is>
      </c>
      <c r="C37" s="10" t="inlineStr">
        <is>
          <t>NMRV</t>
        </is>
      </c>
      <c r="D37" s="10" t="inlineStr">
        <is>
          <t>090</t>
        </is>
      </c>
      <c r="E37" s="10" t="n"/>
      <c r="F37" s="10" t="inlineStr">
        <is>
          <t>1:10</t>
        </is>
      </c>
      <c r="G37" s="10" t="inlineStr">
        <is>
          <t>Universal</t>
        </is>
      </c>
      <c r="H37" s="10" t="inlineStr">
        <is>
          <t>Hollow shaft, keyed</t>
        </is>
      </c>
      <c r="I37" s="10" t="inlineStr">
        <is>
          <t>IEC motor adaptor/input</t>
        </is>
      </c>
      <c r="J37" s="10" t="n">
        <v>3</v>
      </c>
      <c r="K37" s="11" t="inlineStr">
        <is>
          <t>S series (worm)</t>
        </is>
      </c>
      <c r="L37" s="12" t="inlineStr">
        <is>
          <t>SP 90  i=10  (IEC B14/B5 input flange, hollow output)</t>
        </is>
      </c>
      <c r="M37" s="13" t="inlineStr">
        <is>
          <t>— (motor power not specified in RFQ)</t>
        </is>
      </c>
      <c r="N37" s="11" t="n">
        <v>10</v>
      </c>
      <c r="O37" s="11" t="n">
        <v>140</v>
      </c>
      <c r="P37" s="11" t="n">
        <v>310</v>
      </c>
      <c r="Q37" s="13" t="inlineStr">
        <is>
          <t>P1 max 5.1 kW at Sf=1</t>
        </is>
      </c>
      <c r="R37" s="13" t="inlineStr">
        <is>
          <t>Reducer table n1=1400 rpm, Sf=1 (η 89%)</t>
        </is>
      </c>
      <c r="S37" s="13" t="inlineStr">
        <is>
          <t>Hollow shaft Ø35 H7, keyed</t>
        </is>
      </c>
      <c r="T37" s="13" t="inlineStr">
        <is>
          <t>IEC 80, 90, 100, 112 (B14 or B5)</t>
        </is>
      </c>
      <c r="U37" s="13" t="inlineStr">
        <is>
          <t>FR/FL output flange; TR/TL torque arm; SR/SL/SD output shaft; oil 211 synthetic VG220 if required</t>
        </is>
      </c>
      <c r="V37" s="13" t="inlineStr">
        <is>
          <t>S-IRS-IRSD 2025: ratings p.62; dims p.81-82</t>
        </is>
      </c>
      <c r="W37" s="13" t="inlineStr">
        <is>
          <t>Direct size-for-size NMRV equivalent (same centre distance and hollow bore). Ratio is a standard catalogue ratio.</t>
        </is>
      </c>
      <c r="X37" s="14" t="inlineStr">
        <is>
          <t>S/SP 90</t>
        </is>
      </c>
      <c r="Y37" s="15" t="inlineStr">
        <is>
          <t>p.55 (S series aluminium worm gear units)</t>
        </is>
      </c>
      <c r="Z37" s="15" t="inlineStr">
        <is>
          <t>YES</t>
        </is>
      </c>
      <c r="AA37" s="15" t="inlineStr">
        <is>
          <t>Gearbox with IEC input flange (SP) and hollow output shaft</t>
        </is>
      </c>
      <c r="AB37" s="16" t="n">
        <v>309</v>
      </c>
      <c r="AC37" s="17">
        <f>$J37*AB37</f>
        <v/>
      </c>
      <c r="AD37" s="18">
        <f>ROUND(AB37*(1-$L$2),2)</f>
        <v/>
      </c>
      <c r="AE37" s="18">
        <f>$J37*AD37</f>
        <v/>
      </c>
      <c r="AF37" s="19" t="n">
        <v>23</v>
      </c>
      <c r="AG37" s="20">
        <f>ROUND(AF37*(1-$L$2),2)</f>
        <v/>
      </c>
      <c r="AH37" s="19" t="n">
        <v>40</v>
      </c>
      <c r="AI37" s="20">
        <f>ROUND(AH37*(1-$L$2),2)</f>
        <v/>
      </c>
      <c r="AJ37" s="19" t="n">
        <v>24</v>
      </c>
      <c r="AK37" s="20">
        <f>ROUND(AJ37*(1-$L$2),2)</f>
        <v/>
      </c>
      <c r="AL37" s="17" t="n"/>
      <c r="AM37" s="17" t="n"/>
      <c r="AN37" s="17" t="n"/>
      <c r="AO37" s="17" t="n"/>
      <c r="AP37" s="17">
        <f>SUM(AF37,AH37,AJ37,AL37,AN37)</f>
        <v/>
      </c>
      <c r="AQ37" s="17">
        <f>SUM(AG37,AI37,AK37,AM37,AO37)</f>
        <v/>
      </c>
      <c r="AR37" s="17">
        <f>$J37*AP37</f>
        <v/>
      </c>
      <c r="AS37" s="17">
        <f>$J37*AQ37</f>
        <v/>
      </c>
      <c r="AT37" s="17">
        <f>AB37+AP37</f>
        <v/>
      </c>
      <c r="AU37" s="18">
        <f>AD37+AQ37</f>
        <v/>
      </c>
      <c r="AV37" s="17">
        <f>$J37*AT37</f>
        <v/>
      </c>
      <c r="AW37" s="18">
        <f>$J37*AU37</f>
        <v/>
      </c>
      <c r="AX37" s="21" t="inlineStr"/>
      <c r="AY37" s="22" t="n"/>
    </row>
    <row r="38">
      <c r="A38" s="10" t="inlineStr">
        <is>
          <t>GB-034</t>
        </is>
      </c>
      <c r="B38" s="10" t="inlineStr">
        <is>
          <t>Worm Gearbox</t>
        </is>
      </c>
      <c r="C38" s="10" t="inlineStr">
        <is>
          <t>NMRV</t>
        </is>
      </c>
      <c r="D38" s="10" t="inlineStr">
        <is>
          <t>090</t>
        </is>
      </c>
      <c r="E38" s="10" t="n"/>
      <c r="F38" s="10" t="inlineStr">
        <is>
          <t>1:15</t>
        </is>
      </c>
      <c r="G38" s="10" t="inlineStr">
        <is>
          <t>Universal</t>
        </is>
      </c>
      <c r="H38" s="10" t="inlineStr">
        <is>
          <t>Hollow shaft, keyed</t>
        </is>
      </c>
      <c r="I38" s="10" t="inlineStr">
        <is>
          <t>IEC motor adaptor/input</t>
        </is>
      </c>
      <c r="J38" s="10" t="n">
        <v>2</v>
      </c>
      <c r="K38" s="11" t="inlineStr">
        <is>
          <t>S series (worm)</t>
        </is>
      </c>
      <c r="L38" s="12" t="inlineStr">
        <is>
          <t>SP 90  i=15  (IEC B14/B5 input flange, hollow output)</t>
        </is>
      </c>
      <c r="M38" s="13" t="inlineStr">
        <is>
          <t>— (motor power not specified in RFQ)</t>
        </is>
      </c>
      <c r="N38" s="11" t="n">
        <v>15</v>
      </c>
      <c r="O38" s="11" t="n">
        <v>93</v>
      </c>
      <c r="P38" s="11" t="n">
        <v>361</v>
      </c>
      <c r="Q38" s="13" t="inlineStr">
        <is>
          <t>P1 max 4.1 kW at Sf=1</t>
        </is>
      </c>
      <c r="R38" s="13" t="inlineStr">
        <is>
          <t>Reducer table n1=1400 rpm, Sf=1 (η 86%)</t>
        </is>
      </c>
      <c r="S38" s="13" t="inlineStr">
        <is>
          <t>Hollow shaft Ø35 H7, keyed</t>
        </is>
      </c>
      <c r="T38" s="13" t="inlineStr">
        <is>
          <t>IEC 80, 90, 100, 112 (B14 or B5)</t>
        </is>
      </c>
      <c r="U38" s="13" t="inlineStr">
        <is>
          <t>FR/FL output flange; TR/TL torque arm; SR/SL/SD output shaft; oil 211 synthetic VG220 if required</t>
        </is>
      </c>
      <c r="V38" s="13" t="inlineStr">
        <is>
          <t>S-IRS-IRSD 2025: ratings p.62; dims p.81-82</t>
        </is>
      </c>
      <c r="W38" s="13" t="inlineStr">
        <is>
          <t>Direct size-for-size NMRV equivalent (same centre distance and hollow bore). Ratio is a standard catalogue ratio.</t>
        </is>
      </c>
      <c r="X38" s="14" t="inlineStr">
        <is>
          <t>S/SP 90</t>
        </is>
      </c>
      <c r="Y38" s="15" t="inlineStr">
        <is>
          <t>p.55 (S series aluminium worm gear units)</t>
        </is>
      </c>
      <c r="Z38" s="15" t="inlineStr">
        <is>
          <t>YES</t>
        </is>
      </c>
      <c r="AA38" s="15" t="inlineStr">
        <is>
          <t>Gearbox with IEC input flange (SP) and hollow output shaft</t>
        </is>
      </c>
      <c r="AB38" s="16" t="n">
        <v>309</v>
      </c>
      <c r="AC38" s="17">
        <f>$J38*AB38</f>
        <v/>
      </c>
      <c r="AD38" s="18">
        <f>ROUND(AB38*(1-$L$2),2)</f>
        <v/>
      </c>
      <c r="AE38" s="18">
        <f>$J38*AD38</f>
        <v/>
      </c>
      <c r="AF38" s="19" t="n">
        <v>23</v>
      </c>
      <c r="AG38" s="20">
        <f>ROUND(AF38*(1-$L$2),2)</f>
        <v/>
      </c>
      <c r="AH38" s="19" t="n">
        <v>40</v>
      </c>
      <c r="AI38" s="20">
        <f>ROUND(AH38*(1-$L$2),2)</f>
        <v/>
      </c>
      <c r="AJ38" s="19" t="n">
        <v>24</v>
      </c>
      <c r="AK38" s="20">
        <f>ROUND(AJ38*(1-$L$2),2)</f>
        <v/>
      </c>
      <c r="AL38" s="17" t="n"/>
      <c r="AM38" s="17" t="n"/>
      <c r="AN38" s="17" t="n"/>
      <c r="AO38" s="17" t="n"/>
      <c r="AP38" s="17">
        <f>SUM(AF38,AH38,AJ38,AL38,AN38)</f>
        <v/>
      </c>
      <c r="AQ38" s="17">
        <f>SUM(AG38,AI38,AK38,AM38,AO38)</f>
        <v/>
      </c>
      <c r="AR38" s="17">
        <f>$J38*AP38</f>
        <v/>
      </c>
      <c r="AS38" s="17">
        <f>$J38*AQ38</f>
        <v/>
      </c>
      <c r="AT38" s="17">
        <f>AB38+AP38</f>
        <v/>
      </c>
      <c r="AU38" s="18">
        <f>AD38+AQ38</f>
        <v/>
      </c>
      <c r="AV38" s="17">
        <f>$J38*AT38</f>
        <v/>
      </c>
      <c r="AW38" s="18">
        <f>$J38*AU38</f>
        <v/>
      </c>
      <c r="AX38" s="21" t="inlineStr"/>
      <c r="AY38" s="22" t="n"/>
    </row>
    <row r="39">
      <c r="A39" s="10" t="inlineStr">
        <is>
          <t>GB-035</t>
        </is>
      </c>
      <c r="B39" s="10" t="inlineStr">
        <is>
          <t>Worm Gearbox</t>
        </is>
      </c>
      <c r="C39" s="10" t="inlineStr">
        <is>
          <t>NMRV</t>
        </is>
      </c>
      <c r="D39" s="10" t="inlineStr">
        <is>
          <t>090</t>
        </is>
      </c>
      <c r="E39" s="10" t="n"/>
      <c r="F39" s="10" t="inlineStr">
        <is>
          <t>1:20</t>
        </is>
      </c>
      <c r="G39" s="10" t="inlineStr">
        <is>
          <t>Universal</t>
        </is>
      </c>
      <c r="H39" s="10" t="inlineStr">
        <is>
          <t>Hollow shaft, keyed</t>
        </is>
      </c>
      <c r="I39" s="10" t="inlineStr">
        <is>
          <t>IEC motor adaptor/input</t>
        </is>
      </c>
      <c r="J39" s="10" t="n">
        <v>3</v>
      </c>
      <c r="K39" s="11" t="inlineStr">
        <is>
          <t>S series (worm)</t>
        </is>
      </c>
      <c r="L39" s="12" t="inlineStr">
        <is>
          <t>SP 90  i=20  (IEC B14/B5 input flange, hollow output)</t>
        </is>
      </c>
      <c r="M39" s="13" t="inlineStr">
        <is>
          <t>— (motor power not specified in RFQ)</t>
        </is>
      </c>
      <c r="N39" s="11" t="n">
        <v>20</v>
      </c>
      <c r="O39" s="11" t="n">
        <v>70</v>
      </c>
      <c r="P39" s="11" t="n">
        <v>355</v>
      </c>
      <c r="Q39" s="13" t="inlineStr">
        <is>
          <t>P1 max 3.1 kW at Sf=1</t>
        </is>
      </c>
      <c r="R39" s="13" t="inlineStr">
        <is>
          <t>Reducer table n1=1400 rpm, Sf=1 (η 84%)</t>
        </is>
      </c>
      <c r="S39" s="13" t="inlineStr">
        <is>
          <t>Hollow shaft Ø35 H7, keyed</t>
        </is>
      </c>
      <c r="T39" s="13" t="inlineStr">
        <is>
          <t>IEC 80, 90, 100, 112 (B14 or B5)</t>
        </is>
      </c>
      <c r="U39" s="13" t="inlineStr">
        <is>
          <t>FR/FL output flange; TR/TL torque arm; SR/SL/SD output shaft; oil 211 synthetic VG220 if required</t>
        </is>
      </c>
      <c r="V39" s="13" t="inlineStr">
        <is>
          <t>S-IRS-IRSD 2025: ratings p.62; dims p.81-82</t>
        </is>
      </c>
      <c r="W39" s="13" t="inlineStr">
        <is>
          <t>Direct size-for-size NMRV equivalent (same centre distance and hollow bore). Ratio is a standard catalogue ratio.</t>
        </is>
      </c>
      <c r="X39" s="14" t="inlineStr">
        <is>
          <t>S/SP 90</t>
        </is>
      </c>
      <c r="Y39" s="15" t="inlineStr">
        <is>
          <t>p.55 (S series aluminium worm gear units)</t>
        </is>
      </c>
      <c r="Z39" s="15" t="inlineStr">
        <is>
          <t>YES</t>
        </is>
      </c>
      <c r="AA39" s="15" t="inlineStr">
        <is>
          <t>Gearbox with IEC input flange (SP) and hollow output shaft</t>
        </is>
      </c>
      <c r="AB39" s="16" t="n">
        <v>309</v>
      </c>
      <c r="AC39" s="17">
        <f>$J39*AB39</f>
        <v/>
      </c>
      <c r="AD39" s="18">
        <f>ROUND(AB39*(1-$L$2),2)</f>
        <v/>
      </c>
      <c r="AE39" s="18">
        <f>$J39*AD39</f>
        <v/>
      </c>
      <c r="AF39" s="19" t="n">
        <v>23</v>
      </c>
      <c r="AG39" s="20">
        <f>ROUND(AF39*(1-$L$2),2)</f>
        <v/>
      </c>
      <c r="AH39" s="19" t="n">
        <v>40</v>
      </c>
      <c r="AI39" s="20">
        <f>ROUND(AH39*(1-$L$2),2)</f>
        <v/>
      </c>
      <c r="AJ39" s="19" t="n">
        <v>24</v>
      </c>
      <c r="AK39" s="20">
        <f>ROUND(AJ39*(1-$L$2),2)</f>
        <v/>
      </c>
      <c r="AL39" s="17" t="n"/>
      <c r="AM39" s="17" t="n"/>
      <c r="AN39" s="17" t="n"/>
      <c r="AO39" s="17" t="n"/>
      <c r="AP39" s="17">
        <f>SUM(AF39,AH39,AJ39,AL39,AN39)</f>
        <v/>
      </c>
      <c r="AQ39" s="17">
        <f>SUM(AG39,AI39,AK39,AM39,AO39)</f>
        <v/>
      </c>
      <c r="AR39" s="17">
        <f>$J39*AP39</f>
        <v/>
      </c>
      <c r="AS39" s="17">
        <f>$J39*AQ39</f>
        <v/>
      </c>
      <c r="AT39" s="17">
        <f>AB39+AP39</f>
        <v/>
      </c>
      <c r="AU39" s="18">
        <f>AD39+AQ39</f>
        <v/>
      </c>
      <c r="AV39" s="17">
        <f>$J39*AT39</f>
        <v/>
      </c>
      <c r="AW39" s="18">
        <f>$J39*AU39</f>
        <v/>
      </c>
      <c r="AX39" s="21" t="inlineStr"/>
      <c r="AY39" s="22" t="n"/>
    </row>
    <row r="40">
      <c r="A40" s="10" t="inlineStr">
        <is>
          <t>GB-036</t>
        </is>
      </c>
      <c r="B40" s="10" t="inlineStr">
        <is>
          <t>Worm Gearbox</t>
        </is>
      </c>
      <c r="C40" s="10" t="inlineStr">
        <is>
          <t>NMRV</t>
        </is>
      </c>
      <c r="D40" s="10" t="inlineStr">
        <is>
          <t>090</t>
        </is>
      </c>
      <c r="E40" s="10" t="n"/>
      <c r="F40" s="10" t="inlineStr">
        <is>
          <t>1:25</t>
        </is>
      </c>
      <c r="G40" s="10" t="inlineStr">
        <is>
          <t>Universal</t>
        </is>
      </c>
      <c r="H40" s="10" t="inlineStr">
        <is>
          <t>Hollow shaft, keyed</t>
        </is>
      </c>
      <c r="I40" s="10" t="inlineStr">
        <is>
          <t>IEC motor adaptor/input</t>
        </is>
      </c>
      <c r="J40" s="10" t="n">
        <v>2</v>
      </c>
      <c r="K40" s="11" t="inlineStr">
        <is>
          <t>S series (worm)</t>
        </is>
      </c>
      <c r="L40" s="12" t="inlineStr">
        <is>
          <t>SP 90  i=25  (IEC B14/B5 input flange, hollow output)</t>
        </is>
      </c>
      <c r="M40" s="13" t="inlineStr">
        <is>
          <t>— (motor power not specified in RFQ)</t>
        </is>
      </c>
      <c r="N40" s="11" t="n">
        <v>25</v>
      </c>
      <c r="O40" s="11" t="n">
        <v>56</v>
      </c>
      <c r="P40" s="11" t="n">
        <v>340</v>
      </c>
      <c r="Q40" s="13" t="inlineStr">
        <is>
          <t>P1 max 2.4 kW at Sf=1</t>
        </is>
      </c>
      <c r="R40" s="13" t="inlineStr">
        <is>
          <t>Reducer table n1=1400 rpm, Sf=1 (η 83%)</t>
        </is>
      </c>
      <c r="S40" s="13" t="inlineStr">
        <is>
          <t>Hollow shaft Ø35 H7, keyed</t>
        </is>
      </c>
      <c r="T40" s="13" t="inlineStr">
        <is>
          <t>IEC 80, 90, 100, 112 (B14 or B5)</t>
        </is>
      </c>
      <c r="U40" s="13" t="inlineStr">
        <is>
          <t>FR/FL output flange; TR/TL torque arm; SR/SL/SD output shaft; oil 211 synthetic VG220 if required</t>
        </is>
      </c>
      <c r="V40" s="13" t="inlineStr">
        <is>
          <t>S-IRS-IRSD 2025: ratings p.62; dims p.81-82</t>
        </is>
      </c>
      <c r="W40" s="13" t="inlineStr">
        <is>
          <t>Direct size-for-size NMRV equivalent (same centre distance and hollow bore). Ratio is a standard catalogue ratio.</t>
        </is>
      </c>
      <c r="X40" s="14" t="inlineStr">
        <is>
          <t>S/SP 90</t>
        </is>
      </c>
      <c r="Y40" s="15" t="inlineStr">
        <is>
          <t>p.55 (S series aluminium worm gear units)</t>
        </is>
      </c>
      <c r="Z40" s="15" t="inlineStr">
        <is>
          <t>YES</t>
        </is>
      </c>
      <c r="AA40" s="15" t="inlineStr">
        <is>
          <t>Gearbox with IEC input flange (SP) and hollow output shaft</t>
        </is>
      </c>
      <c r="AB40" s="16" t="n">
        <v>309</v>
      </c>
      <c r="AC40" s="17">
        <f>$J40*AB40</f>
        <v/>
      </c>
      <c r="AD40" s="18">
        <f>ROUND(AB40*(1-$L$2),2)</f>
        <v/>
      </c>
      <c r="AE40" s="18">
        <f>$J40*AD40</f>
        <v/>
      </c>
      <c r="AF40" s="19" t="n">
        <v>23</v>
      </c>
      <c r="AG40" s="20">
        <f>ROUND(AF40*(1-$L$2),2)</f>
        <v/>
      </c>
      <c r="AH40" s="19" t="n">
        <v>40</v>
      </c>
      <c r="AI40" s="20">
        <f>ROUND(AH40*(1-$L$2),2)</f>
        <v/>
      </c>
      <c r="AJ40" s="19" t="n">
        <v>24</v>
      </c>
      <c r="AK40" s="20">
        <f>ROUND(AJ40*(1-$L$2),2)</f>
        <v/>
      </c>
      <c r="AL40" s="17" t="n"/>
      <c r="AM40" s="17" t="n"/>
      <c r="AN40" s="17" t="n"/>
      <c r="AO40" s="17" t="n"/>
      <c r="AP40" s="17">
        <f>SUM(AF40,AH40,AJ40,AL40,AN40)</f>
        <v/>
      </c>
      <c r="AQ40" s="17">
        <f>SUM(AG40,AI40,AK40,AM40,AO40)</f>
        <v/>
      </c>
      <c r="AR40" s="17">
        <f>$J40*AP40</f>
        <v/>
      </c>
      <c r="AS40" s="17">
        <f>$J40*AQ40</f>
        <v/>
      </c>
      <c r="AT40" s="17">
        <f>AB40+AP40</f>
        <v/>
      </c>
      <c r="AU40" s="18">
        <f>AD40+AQ40</f>
        <v/>
      </c>
      <c r="AV40" s="17">
        <f>$J40*AT40</f>
        <v/>
      </c>
      <c r="AW40" s="18">
        <f>$J40*AU40</f>
        <v/>
      </c>
      <c r="AX40" s="21" t="inlineStr"/>
      <c r="AY40" s="22" t="n"/>
    </row>
    <row r="41">
      <c r="A41" s="10" t="inlineStr">
        <is>
          <t>GB-037</t>
        </is>
      </c>
      <c r="B41" s="10" t="inlineStr">
        <is>
          <t>Worm Gearbox</t>
        </is>
      </c>
      <c r="C41" s="10" t="inlineStr">
        <is>
          <t>NMRV</t>
        </is>
      </c>
      <c r="D41" s="10" t="inlineStr">
        <is>
          <t>090</t>
        </is>
      </c>
      <c r="E41" s="10" t="n"/>
      <c r="F41" s="10" t="inlineStr">
        <is>
          <t>1:30</t>
        </is>
      </c>
      <c r="G41" s="10" t="inlineStr">
        <is>
          <t>Universal</t>
        </is>
      </c>
      <c r="H41" s="10" t="inlineStr">
        <is>
          <t>Hollow shaft, keyed</t>
        </is>
      </c>
      <c r="I41" s="10" t="inlineStr">
        <is>
          <t>IEC motor adaptor/input</t>
        </is>
      </c>
      <c r="J41" s="10" t="n">
        <v>3</v>
      </c>
      <c r="K41" s="11" t="inlineStr">
        <is>
          <t>S series (worm)</t>
        </is>
      </c>
      <c r="L41" s="12" t="inlineStr">
        <is>
          <t>SP 90  i=30  (IEC B14/B5 input flange, hollow output)</t>
        </is>
      </c>
      <c r="M41" s="13" t="inlineStr">
        <is>
          <t>— (motor power not specified in RFQ)</t>
        </is>
      </c>
      <c r="N41" s="11" t="n">
        <v>30</v>
      </c>
      <c r="O41" s="11" t="n">
        <v>47</v>
      </c>
      <c r="P41" s="11" t="n">
        <v>410</v>
      </c>
      <c r="Q41" s="13" t="inlineStr">
        <is>
          <t>P1 max 2.6 kW at Sf=1</t>
        </is>
      </c>
      <c r="R41" s="13" t="inlineStr">
        <is>
          <t>Reducer table n1=1400 rpm, Sf=1 (η 77%)</t>
        </is>
      </c>
      <c r="S41" s="13" t="inlineStr">
        <is>
          <t>Hollow shaft Ø35 H7, keyed</t>
        </is>
      </c>
      <c r="T41" s="13" t="inlineStr">
        <is>
          <t>IEC 80, 90, 100, 112 (B14 or B5)</t>
        </is>
      </c>
      <c r="U41" s="13" t="inlineStr">
        <is>
          <t>FR/FL output flange; TR/TL torque arm; SR/SL/SD output shaft; oil 211 synthetic VG220 if required</t>
        </is>
      </c>
      <c r="V41" s="13" t="inlineStr">
        <is>
          <t>S-IRS-IRSD 2025: ratings p.62; dims p.81-82</t>
        </is>
      </c>
      <c r="W41" s="13" t="inlineStr">
        <is>
          <t>Direct size-for-size NMRV equivalent (same centre distance and hollow bore). Ratio is a standard catalogue ratio.</t>
        </is>
      </c>
      <c r="X41" s="14" t="inlineStr">
        <is>
          <t>S/SP 90</t>
        </is>
      </c>
      <c r="Y41" s="15" t="inlineStr">
        <is>
          <t>p.55 (S series aluminium worm gear units)</t>
        </is>
      </c>
      <c r="Z41" s="15" t="inlineStr">
        <is>
          <t>YES</t>
        </is>
      </c>
      <c r="AA41" s="15" t="inlineStr">
        <is>
          <t>Gearbox with IEC input flange (SP) and hollow output shaft</t>
        </is>
      </c>
      <c r="AB41" s="16" t="n">
        <v>309</v>
      </c>
      <c r="AC41" s="17">
        <f>$J41*AB41</f>
        <v/>
      </c>
      <c r="AD41" s="18">
        <f>ROUND(AB41*(1-$L$2),2)</f>
        <v/>
      </c>
      <c r="AE41" s="18">
        <f>$J41*AD41</f>
        <v/>
      </c>
      <c r="AF41" s="19" t="n">
        <v>23</v>
      </c>
      <c r="AG41" s="20">
        <f>ROUND(AF41*(1-$L$2),2)</f>
        <v/>
      </c>
      <c r="AH41" s="19" t="n">
        <v>40</v>
      </c>
      <c r="AI41" s="20">
        <f>ROUND(AH41*(1-$L$2),2)</f>
        <v/>
      </c>
      <c r="AJ41" s="19" t="n">
        <v>24</v>
      </c>
      <c r="AK41" s="20">
        <f>ROUND(AJ41*(1-$L$2),2)</f>
        <v/>
      </c>
      <c r="AL41" s="17" t="n"/>
      <c r="AM41" s="17" t="n"/>
      <c r="AN41" s="17" t="n"/>
      <c r="AO41" s="17" t="n"/>
      <c r="AP41" s="17">
        <f>SUM(AF41,AH41,AJ41,AL41,AN41)</f>
        <v/>
      </c>
      <c r="AQ41" s="17">
        <f>SUM(AG41,AI41,AK41,AM41,AO41)</f>
        <v/>
      </c>
      <c r="AR41" s="17">
        <f>$J41*AP41</f>
        <v/>
      </c>
      <c r="AS41" s="17">
        <f>$J41*AQ41</f>
        <v/>
      </c>
      <c r="AT41" s="17">
        <f>AB41+AP41</f>
        <v/>
      </c>
      <c r="AU41" s="18">
        <f>AD41+AQ41</f>
        <v/>
      </c>
      <c r="AV41" s="17">
        <f>$J41*AT41</f>
        <v/>
      </c>
      <c r="AW41" s="18">
        <f>$J41*AU41</f>
        <v/>
      </c>
      <c r="AX41" s="21" t="inlineStr"/>
      <c r="AY41" s="22" t="n"/>
    </row>
    <row r="42">
      <c r="A42" s="10" t="inlineStr">
        <is>
          <t>GB-038</t>
        </is>
      </c>
      <c r="B42" s="10" t="inlineStr">
        <is>
          <t>Worm Gearbox</t>
        </is>
      </c>
      <c r="C42" s="10" t="inlineStr">
        <is>
          <t>NMRV</t>
        </is>
      </c>
      <c r="D42" s="10" t="inlineStr">
        <is>
          <t>090</t>
        </is>
      </c>
      <c r="E42" s="10" t="n"/>
      <c r="F42" s="10" t="inlineStr">
        <is>
          <t>1:40</t>
        </is>
      </c>
      <c r="G42" s="10" t="inlineStr">
        <is>
          <t>Universal</t>
        </is>
      </c>
      <c r="H42" s="10" t="inlineStr">
        <is>
          <t>Hollow shaft, keyed</t>
        </is>
      </c>
      <c r="I42" s="10" t="inlineStr">
        <is>
          <t>IEC motor adaptor/input</t>
        </is>
      </c>
      <c r="J42" s="10" t="n">
        <v>2</v>
      </c>
      <c r="K42" s="11" t="inlineStr">
        <is>
          <t>S series (worm)</t>
        </is>
      </c>
      <c r="L42" s="12" t="inlineStr">
        <is>
          <t>SP 90  i=40  (IEC B14/B5 input flange, hollow output)</t>
        </is>
      </c>
      <c r="M42" s="13" t="inlineStr">
        <is>
          <t>— (motor power not specified in RFQ)</t>
        </is>
      </c>
      <c r="N42" s="11" t="n">
        <v>40</v>
      </c>
      <c r="O42" s="11" t="n">
        <v>35</v>
      </c>
      <c r="P42" s="11" t="n">
        <v>359</v>
      </c>
      <c r="Q42" s="13" t="inlineStr">
        <is>
          <t>P1 max 1.8 kW at Sf=1</t>
        </is>
      </c>
      <c r="R42" s="13" t="inlineStr">
        <is>
          <t>Reducer table n1=1400 rpm, Sf=1 (η 73%)</t>
        </is>
      </c>
      <c r="S42" s="13" t="inlineStr">
        <is>
          <t>Hollow shaft Ø35 H7, keyed</t>
        </is>
      </c>
      <c r="T42" s="13" t="inlineStr">
        <is>
          <t>IEC 80, 90, 100, 112 (B14 or B5)</t>
        </is>
      </c>
      <c r="U42" s="13" t="inlineStr">
        <is>
          <t>FR/FL output flange; TR/TL torque arm; SR/SL/SD output shaft; oil 211 synthetic VG220 if required</t>
        </is>
      </c>
      <c r="V42" s="13" t="inlineStr">
        <is>
          <t>S-IRS-IRSD 2025: ratings p.62; dims p.81-82</t>
        </is>
      </c>
      <c r="W42" s="13" t="inlineStr">
        <is>
          <t>Direct size-for-size NMRV equivalent (same centre distance and hollow bore). Ratio is a standard catalogue ratio.</t>
        </is>
      </c>
      <c r="X42" s="14" t="inlineStr">
        <is>
          <t>S/SP 90</t>
        </is>
      </c>
      <c r="Y42" s="15" t="inlineStr">
        <is>
          <t>p.55 (S series aluminium worm gear units)</t>
        </is>
      </c>
      <c r="Z42" s="15" t="inlineStr">
        <is>
          <t>YES</t>
        </is>
      </c>
      <c r="AA42" s="15" t="inlineStr">
        <is>
          <t>Gearbox with IEC input flange (SP) and hollow output shaft</t>
        </is>
      </c>
      <c r="AB42" s="16" t="n">
        <v>309</v>
      </c>
      <c r="AC42" s="17">
        <f>$J42*AB42</f>
        <v/>
      </c>
      <c r="AD42" s="18">
        <f>ROUND(AB42*(1-$L$2),2)</f>
        <v/>
      </c>
      <c r="AE42" s="18">
        <f>$J42*AD42</f>
        <v/>
      </c>
      <c r="AF42" s="19" t="n">
        <v>23</v>
      </c>
      <c r="AG42" s="20">
        <f>ROUND(AF42*(1-$L$2),2)</f>
        <v/>
      </c>
      <c r="AH42" s="19" t="n">
        <v>40</v>
      </c>
      <c r="AI42" s="20">
        <f>ROUND(AH42*(1-$L$2),2)</f>
        <v/>
      </c>
      <c r="AJ42" s="19" t="n">
        <v>24</v>
      </c>
      <c r="AK42" s="20">
        <f>ROUND(AJ42*(1-$L$2),2)</f>
        <v/>
      </c>
      <c r="AL42" s="17" t="n"/>
      <c r="AM42" s="17" t="n"/>
      <c r="AN42" s="17" t="n"/>
      <c r="AO42" s="17" t="n"/>
      <c r="AP42" s="17">
        <f>SUM(AF42,AH42,AJ42,AL42,AN42)</f>
        <v/>
      </c>
      <c r="AQ42" s="17">
        <f>SUM(AG42,AI42,AK42,AM42,AO42)</f>
        <v/>
      </c>
      <c r="AR42" s="17">
        <f>$J42*AP42</f>
        <v/>
      </c>
      <c r="AS42" s="17">
        <f>$J42*AQ42</f>
        <v/>
      </c>
      <c r="AT42" s="17">
        <f>AB42+AP42</f>
        <v/>
      </c>
      <c r="AU42" s="18">
        <f>AD42+AQ42</f>
        <v/>
      </c>
      <c r="AV42" s="17">
        <f>$J42*AT42</f>
        <v/>
      </c>
      <c r="AW42" s="18">
        <f>$J42*AU42</f>
        <v/>
      </c>
      <c r="AX42" s="21" t="inlineStr"/>
      <c r="AY42" s="22" t="n"/>
    </row>
    <row r="43">
      <c r="A43" s="10" t="inlineStr">
        <is>
          <t>GB-039</t>
        </is>
      </c>
      <c r="B43" s="10" t="inlineStr">
        <is>
          <t>Worm Gearbox</t>
        </is>
      </c>
      <c r="C43" s="10" t="inlineStr">
        <is>
          <t>NMRV</t>
        </is>
      </c>
      <c r="D43" s="10" t="inlineStr">
        <is>
          <t>090</t>
        </is>
      </c>
      <c r="E43" s="10" t="n"/>
      <c r="F43" s="10" t="inlineStr">
        <is>
          <t>1:50</t>
        </is>
      </c>
      <c r="G43" s="10" t="inlineStr">
        <is>
          <t>Universal</t>
        </is>
      </c>
      <c r="H43" s="10" t="inlineStr">
        <is>
          <t>Hollow shaft, keyed</t>
        </is>
      </c>
      <c r="I43" s="10" t="inlineStr">
        <is>
          <t>IEC motor adaptor/input</t>
        </is>
      </c>
      <c r="J43" s="10" t="n">
        <v>2</v>
      </c>
      <c r="K43" s="11" t="inlineStr">
        <is>
          <t>S series (worm)</t>
        </is>
      </c>
      <c r="L43" s="12" t="inlineStr">
        <is>
          <t>SP 90  i=50  (IEC B14/B5 input flange, hollow output)</t>
        </is>
      </c>
      <c r="M43" s="13" t="inlineStr">
        <is>
          <t>— (motor power not specified in RFQ)</t>
        </is>
      </c>
      <c r="N43" s="11" t="n">
        <v>50</v>
      </c>
      <c r="O43" s="11" t="n">
        <v>28</v>
      </c>
      <c r="P43" s="11" t="n">
        <v>339</v>
      </c>
      <c r="Q43" s="13" t="inlineStr">
        <is>
          <t>P1 max 1.4 kW at Sf=1</t>
        </is>
      </c>
      <c r="R43" s="13" t="inlineStr">
        <is>
          <t>Reducer table n1=1400 rpm, Sf=1 (η 71%)</t>
        </is>
      </c>
      <c r="S43" s="13" t="inlineStr">
        <is>
          <t>Hollow shaft Ø35 H7, keyed</t>
        </is>
      </c>
      <c r="T43" s="13" t="inlineStr">
        <is>
          <t>IEC 80, 90, 100, 112 (B14 or B5)</t>
        </is>
      </c>
      <c r="U43" s="13" t="inlineStr">
        <is>
          <t>FR/FL output flange; TR/TL torque arm; SR/SL/SD output shaft; oil 211 synthetic VG220 if required</t>
        </is>
      </c>
      <c r="V43" s="13" t="inlineStr">
        <is>
          <t>S-IRS-IRSD 2025: ratings p.62; dims p.81-82</t>
        </is>
      </c>
      <c r="W43" s="13" t="inlineStr">
        <is>
          <t>Direct size-for-size NMRV equivalent (same centre distance and hollow bore). Ratio is a standard catalogue ratio.</t>
        </is>
      </c>
      <c r="X43" s="14" t="inlineStr">
        <is>
          <t>S/SP 90</t>
        </is>
      </c>
      <c r="Y43" s="15" t="inlineStr">
        <is>
          <t>p.55 (S series aluminium worm gear units)</t>
        </is>
      </c>
      <c r="Z43" s="15" t="inlineStr">
        <is>
          <t>YES</t>
        </is>
      </c>
      <c r="AA43" s="15" t="inlineStr">
        <is>
          <t>Gearbox with IEC input flange (SP) and hollow output shaft</t>
        </is>
      </c>
      <c r="AB43" s="16" t="n">
        <v>309</v>
      </c>
      <c r="AC43" s="17">
        <f>$J43*AB43</f>
        <v/>
      </c>
      <c r="AD43" s="18">
        <f>ROUND(AB43*(1-$L$2),2)</f>
        <v/>
      </c>
      <c r="AE43" s="18">
        <f>$J43*AD43</f>
        <v/>
      </c>
      <c r="AF43" s="19" t="n">
        <v>23</v>
      </c>
      <c r="AG43" s="20">
        <f>ROUND(AF43*(1-$L$2),2)</f>
        <v/>
      </c>
      <c r="AH43" s="19" t="n">
        <v>40</v>
      </c>
      <c r="AI43" s="20">
        <f>ROUND(AH43*(1-$L$2),2)</f>
        <v/>
      </c>
      <c r="AJ43" s="19" t="n">
        <v>24</v>
      </c>
      <c r="AK43" s="20">
        <f>ROUND(AJ43*(1-$L$2),2)</f>
        <v/>
      </c>
      <c r="AL43" s="17" t="n"/>
      <c r="AM43" s="17" t="n"/>
      <c r="AN43" s="17" t="n"/>
      <c r="AO43" s="17" t="n"/>
      <c r="AP43" s="17">
        <f>SUM(AF43,AH43,AJ43,AL43,AN43)</f>
        <v/>
      </c>
      <c r="AQ43" s="17">
        <f>SUM(AG43,AI43,AK43,AM43,AO43)</f>
        <v/>
      </c>
      <c r="AR43" s="17">
        <f>$J43*AP43</f>
        <v/>
      </c>
      <c r="AS43" s="17">
        <f>$J43*AQ43</f>
        <v/>
      </c>
      <c r="AT43" s="17">
        <f>AB43+AP43</f>
        <v/>
      </c>
      <c r="AU43" s="18">
        <f>AD43+AQ43</f>
        <v/>
      </c>
      <c r="AV43" s="17">
        <f>$J43*AT43</f>
        <v/>
      </c>
      <c r="AW43" s="18">
        <f>$J43*AU43</f>
        <v/>
      </c>
      <c r="AX43" s="21" t="inlineStr"/>
      <c r="AY43" s="22" t="n"/>
    </row>
    <row r="44">
      <c r="A44" s="10" t="inlineStr">
        <is>
          <t>GB-040</t>
        </is>
      </c>
      <c r="B44" s="10" t="inlineStr">
        <is>
          <t>Worm Gearbox</t>
        </is>
      </c>
      <c r="C44" s="10" t="inlineStr">
        <is>
          <t>NMRV</t>
        </is>
      </c>
      <c r="D44" s="10" t="inlineStr">
        <is>
          <t>090</t>
        </is>
      </c>
      <c r="E44" s="10" t="n"/>
      <c r="F44" s="10" t="inlineStr">
        <is>
          <t>1:60</t>
        </is>
      </c>
      <c r="G44" s="10" t="inlineStr">
        <is>
          <t>Universal</t>
        </is>
      </c>
      <c r="H44" s="10" t="inlineStr">
        <is>
          <t>Hollow shaft, keyed</t>
        </is>
      </c>
      <c r="I44" s="10" t="inlineStr">
        <is>
          <t>IEC motor adaptor/input</t>
        </is>
      </c>
      <c r="J44" s="10" t="n">
        <v>1</v>
      </c>
      <c r="K44" s="11" t="inlineStr">
        <is>
          <t>S series (worm)</t>
        </is>
      </c>
      <c r="L44" s="12" t="inlineStr">
        <is>
          <t>SP 90  i=60  (IEC B14/B5 input flange, hollow output)</t>
        </is>
      </c>
      <c r="M44" s="13" t="inlineStr">
        <is>
          <t>— (motor power not specified in RFQ)</t>
        </is>
      </c>
      <c r="N44" s="11" t="n">
        <v>60</v>
      </c>
      <c r="O44" s="11" t="n">
        <v>23</v>
      </c>
      <c r="P44" s="11" t="n">
        <v>320</v>
      </c>
      <c r="Q44" s="13" t="inlineStr">
        <is>
          <t>P1 max 1.1 kW at Sf=1</t>
        </is>
      </c>
      <c r="R44" s="13" t="inlineStr">
        <is>
          <t>Reducer table n1=1400 rpm, Sf=1 (η 71%)</t>
        </is>
      </c>
      <c r="S44" s="13" t="inlineStr">
        <is>
          <t>Hollow shaft Ø35 H7, keyed</t>
        </is>
      </c>
      <c r="T44" s="13" t="inlineStr">
        <is>
          <t>IEC 80, 90, 100, 112 (B14 or B5)</t>
        </is>
      </c>
      <c r="U44" s="13" t="inlineStr">
        <is>
          <t>FR/FL output flange; TR/TL torque arm; SR/SL/SD output shaft; oil 211 synthetic VG220 if required</t>
        </is>
      </c>
      <c r="V44" s="13" t="inlineStr">
        <is>
          <t>S-IRS-IRSD 2025: ratings p.62; dims p.81-82</t>
        </is>
      </c>
      <c r="W44" s="13" t="inlineStr">
        <is>
          <t>Direct size-for-size NMRV equivalent (same centre distance and hollow bore). Ratio is a standard catalogue ratio.</t>
        </is>
      </c>
      <c r="X44" s="14" t="inlineStr">
        <is>
          <t>S/SP 90</t>
        </is>
      </c>
      <c r="Y44" s="15" t="inlineStr">
        <is>
          <t>p.55 (S series aluminium worm gear units)</t>
        </is>
      </c>
      <c r="Z44" s="15" t="inlineStr">
        <is>
          <t>YES</t>
        </is>
      </c>
      <c r="AA44" s="15" t="inlineStr">
        <is>
          <t>Gearbox with IEC input flange (SP) and hollow output shaft</t>
        </is>
      </c>
      <c r="AB44" s="16" t="n">
        <v>309</v>
      </c>
      <c r="AC44" s="17">
        <f>$J44*AB44</f>
        <v/>
      </c>
      <c r="AD44" s="18">
        <f>ROUND(AB44*(1-$L$2),2)</f>
        <v/>
      </c>
      <c r="AE44" s="18">
        <f>$J44*AD44</f>
        <v/>
      </c>
      <c r="AF44" s="19" t="n">
        <v>23</v>
      </c>
      <c r="AG44" s="20">
        <f>ROUND(AF44*(1-$L$2),2)</f>
        <v/>
      </c>
      <c r="AH44" s="19" t="n">
        <v>40</v>
      </c>
      <c r="AI44" s="20">
        <f>ROUND(AH44*(1-$L$2),2)</f>
        <v/>
      </c>
      <c r="AJ44" s="19" t="n">
        <v>24</v>
      </c>
      <c r="AK44" s="20">
        <f>ROUND(AJ44*(1-$L$2),2)</f>
        <v/>
      </c>
      <c r="AL44" s="17" t="n"/>
      <c r="AM44" s="17" t="n"/>
      <c r="AN44" s="17" t="n"/>
      <c r="AO44" s="17" t="n"/>
      <c r="AP44" s="17">
        <f>SUM(AF44,AH44,AJ44,AL44,AN44)</f>
        <v/>
      </c>
      <c r="AQ44" s="17">
        <f>SUM(AG44,AI44,AK44,AM44,AO44)</f>
        <v/>
      </c>
      <c r="AR44" s="17">
        <f>$J44*AP44</f>
        <v/>
      </c>
      <c r="AS44" s="17">
        <f>$J44*AQ44</f>
        <v/>
      </c>
      <c r="AT44" s="17">
        <f>AB44+AP44</f>
        <v/>
      </c>
      <c r="AU44" s="18">
        <f>AD44+AQ44</f>
        <v/>
      </c>
      <c r="AV44" s="17">
        <f>$J44*AT44</f>
        <v/>
      </c>
      <c r="AW44" s="18">
        <f>$J44*AU44</f>
        <v/>
      </c>
      <c r="AX44" s="21" t="inlineStr"/>
      <c r="AY44" s="22" t="n"/>
    </row>
    <row r="45">
      <c r="A45" s="10" t="inlineStr">
        <is>
          <t>GB-041</t>
        </is>
      </c>
      <c r="B45" s="10" t="inlineStr">
        <is>
          <t>Worm Gearbox</t>
        </is>
      </c>
      <c r="C45" s="10" t="inlineStr">
        <is>
          <t>NMRV</t>
        </is>
      </c>
      <c r="D45" s="10" t="inlineStr">
        <is>
          <t>110</t>
        </is>
      </c>
      <c r="E45" s="10" t="n"/>
      <c r="F45" s="10" t="inlineStr">
        <is>
          <t>1:10</t>
        </is>
      </c>
      <c r="G45" s="10" t="inlineStr">
        <is>
          <t>Universal</t>
        </is>
      </c>
      <c r="H45" s="10" t="inlineStr">
        <is>
          <t>Hollow shaft, keyed</t>
        </is>
      </c>
      <c r="I45" s="10" t="inlineStr">
        <is>
          <t>IEC motor adaptor/input</t>
        </is>
      </c>
      <c r="J45" s="10" t="n">
        <v>1</v>
      </c>
      <c r="K45" s="11" t="inlineStr">
        <is>
          <t>S series (worm)</t>
        </is>
      </c>
      <c r="L45" s="12" t="inlineStr">
        <is>
          <t>SP 110  i=10  (IEC B14/B5 input flange, hollow output)</t>
        </is>
      </c>
      <c r="M45" s="13" t="inlineStr">
        <is>
          <t>— (motor power not specified in RFQ)</t>
        </is>
      </c>
      <c r="N45" s="11" t="n">
        <v>10</v>
      </c>
      <c r="O45" s="11" t="n">
        <v>140</v>
      </c>
      <c r="P45" s="11" t="n">
        <v>595</v>
      </c>
      <c r="Q45" s="13" t="inlineStr">
        <is>
          <t>P1 max 9.8 kW at Sf=1</t>
        </is>
      </c>
      <c r="R45" s="13" t="inlineStr">
        <is>
          <t>Reducer table n1=1400 rpm, Sf=1 (η 89%)</t>
        </is>
      </c>
      <c r="S45" s="13" t="inlineStr">
        <is>
          <t>Hollow shaft Ø42 H7, keyed</t>
        </is>
      </c>
      <c r="T45" s="13" t="inlineStr">
        <is>
          <t>IEC 90, 100, 112, 132 (B14 or B5)</t>
        </is>
      </c>
      <c r="U45" s="13" t="inlineStr">
        <is>
          <t>FR/FL output flange; TR/TL torque arm; SR/SL/SD output shaft; oil 211 synthetic VG220 if required</t>
        </is>
      </c>
      <c r="V45" s="13" t="inlineStr">
        <is>
          <t>S-IRS-IRSD 2025: ratings p.62; dims p.83-84</t>
        </is>
      </c>
      <c r="W45" s="13" t="inlineStr">
        <is>
          <t>Direct size-for-size NMRV equivalent (same centre distance and hollow bore). Ratio is a standard catalogue ratio.</t>
        </is>
      </c>
      <c r="X45" s="14" t="inlineStr">
        <is>
          <t>S/SP 110</t>
        </is>
      </c>
      <c r="Y45" s="15" t="inlineStr">
        <is>
          <t>p.55 (S series aluminium worm gear units)</t>
        </is>
      </c>
      <c r="Z45" s="15" t="inlineStr">
        <is>
          <t>YES</t>
        </is>
      </c>
      <c r="AA45" s="15" t="inlineStr">
        <is>
          <t>Gearbox with IEC input flange (SP) and hollow output shaft</t>
        </is>
      </c>
      <c r="AB45" s="16" t="n">
        <v>485</v>
      </c>
      <c r="AC45" s="17">
        <f>$J45*AB45</f>
        <v/>
      </c>
      <c r="AD45" s="18">
        <f>ROUND(AB45*(1-$L$2),2)</f>
        <v/>
      </c>
      <c r="AE45" s="18">
        <f>$J45*AD45</f>
        <v/>
      </c>
      <c r="AF45" s="19" t="n">
        <v>35</v>
      </c>
      <c r="AG45" s="20">
        <f>ROUND(AF45*(1-$L$2),2)</f>
        <v/>
      </c>
      <c r="AH45" s="19" t="n">
        <v>67</v>
      </c>
      <c r="AI45" s="20">
        <f>ROUND(AH45*(1-$L$2),2)</f>
        <v/>
      </c>
      <c r="AJ45" s="19" t="n">
        <v>39</v>
      </c>
      <c r="AK45" s="20">
        <f>ROUND(AJ45*(1-$L$2),2)</f>
        <v/>
      </c>
      <c r="AL45" s="17" t="n"/>
      <c r="AM45" s="17" t="n"/>
      <c r="AN45" s="17" t="n"/>
      <c r="AO45" s="17" t="n"/>
      <c r="AP45" s="17">
        <f>SUM(AF45,AH45,AJ45,AL45,AN45)</f>
        <v/>
      </c>
      <c r="AQ45" s="17">
        <f>SUM(AG45,AI45,AK45,AM45,AO45)</f>
        <v/>
      </c>
      <c r="AR45" s="17">
        <f>$J45*AP45</f>
        <v/>
      </c>
      <c r="AS45" s="17">
        <f>$J45*AQ45</f>
        <v/>
      </c>
      <c r="AT45" s="17">
        <f>AB45+AP45</f>
        <v/>
      </c>
      <c r="AU45" s="18">
        <f>AD45+AQ45</f>
        <v/>
      </c>
      <c r="AV45" s="17">
        <f>$J45*AT45</f>
        <v/>
      </c>
      <c r="AW45" s="18">
        <f>$J45*AU45</f>
        <v/>
      </c>
      <c r="AX45" s="21" t="inlineStr"/>
      <c r="AY45" s="22" t="n"/>
    </row>
    <row r="46">
      <c r="A46" s="10" t="inlineStr">
        <is>
          <t>GB-042</t>
        </is>
      </c>
      <c r="B46" s="10" t="inlineStr">
        <is>
          <t>Worm Gearbox</t>
        </is>
      </c>
      <c r="C46" s="10" t="inlineStr">
        <is>
          <t>NMRV</t>
        </is>
      </c>
      <c r="D46" s="10" t="inlineStr">
        <is>
          <t>110</t>
        </is>
      </c>
      <c r="E46" s="10" t="n"/>
      <c r="F46" s="10" t="inlineStr">
        <is>
          <t>1:20</t>
        </is>
      </c>
      <c r="G46" s="10" t="inlineStr">
        <is>
          <t>Universal</t>
        </is>
      </c>
      <c r="H46" s="10" t="inlineStr">
        <is>
          <t>Hollow shaft, keyed</t>
        </is>
      </c>
      <c r="I46" s="10" t="inlineStr">
        <is>
          <t>IEC motor adaptor/input</t>
        </is>
      </c>
      <c r="J46" s="10" t="n">
        <v>1</v>
      </c>
      <c r="K46" s="11" t="inlineStr">
        <is>
          <t>S series (worm)</t>
        </is>
      </c>
      <c r="L46" s="12" t="inlineStr">
        <is>
          <t>SP 110  i=20  (IEC B14/B5 input flange, hollow output)</t>
        </is>
      </c>
      <c r="M46" s="13" t="inlineStr">
        <is>
          <t>— (motor power not specified in RFQ)</t>
        </is>
      </c>
      <c r="N46" s="11" t="n">
        <v>20</v>
      </c>
      <c r="O46" s="11" t="n">
        <v>70</v>
      </c>
      <c r="P46" s="11" t="n">
        <v>642</v>
      </c>
      <c r="Q46" s="13" t="inlineStr">
        <is>
          <t>P1 max 5.6 kW at Sf=1</t>
        </is>
      </c>
      <c r="R46" s="13" t="inlineStr">
        <is>
          <t>Reducer table n1=1400 rpm, Sf=1 (η 84%)</t>
        </is>
      </c>
      <c r="S46" s="13" t="inlineStr">
        <is>
          <t>Hollow shaft Ø42 H7, keyed</t>
        </is>
      </c>
      <c r="T46" s="13" t="inlineStr">
        <is>
          <t>IEC 90, 100, 112, 132 (B14 or B5)</t>
        </is>
      </c>
      <c r="U46" s="13" t="inlineStr">
        <is>
          <t>FR/FL output flange; TR/TL torque arm; SR/SL/SD output shaft; oil 211 synthetic VG220 if required</t>
        </is>
      </c>
      <c r="V46" s="13" t="inlineStr">
        <is>
          <t>S-IRS-IRSD 2025: ratings p.62; dims p.83-84</t>
        </is>
      </c>
      <c r="W46" s="13" t="inlineStr">
        <is>
          <t>Direct size-for-size NMRV equivalent (same centre distance and hollow bore). Ratio is a standard catalogue ratio.</t>
        </is>
      </c>
      <c r="X46" s="14" t="inlineStr">
        <is>
          <t>S/SP 110</t>
        </is>
      </c>
      <c r="Y46" s="15" t="inlineStr">
        <is>
          <t>p.55 (S series aluminium worm gear units)</t>
        </is>
      </c>
      <c r="Z46" s="15" t="inlineStr">
        <is>
          <t>YES</t>
        </is>
      </c>
      <c r="AA46" s="15" t="inlineStr">
        <is>
          <t>Gearbox with IEC input flange (SP) and hollow output shaft</t>
        </is>
      </c>
      <c r="AB46" s="16" t="n">
        <v>485</v>
      </c>
      <c r="AC46" s="17">
        <f>$J46*AB46</f>
        <v/>
      </c>
      <c r="AD46" s="18">
        <f>ROUND(AB46*(1-$L$2),2)</f>
        <v/>
      </c>
      <c r="AE46" s="18">
        <f>$J46*AD46</f>
        <v/>
      </c>
      <c r="AF46" s="19" t="n">
        <v>35</v>
      </c>
      <c r="AG46" s="20">
        <f>ROUND(AF46*(1-$L$2),2)</f>
        <v/>
      </c>
      <c r="AH46" s="19" t="n">
        <v>67</v>
      </c>
      <c r="AI46" s="20">
        <f>ROUND(AH46*(1-$L$2),2)</f>
        <v/>
      </c>
      <c r="AJ46" s="19" t="n">
        <v>39</v>
      </c>
      <c r="AK46" s="20">
        <f>ROUND(AJ46*(1-$L$2),2)</f>
        <v/>
      </c>
      <c r="AL46" s="17" t="n"/>
      <c r="AM46" s="17" t="n"/>
      <c r="AN46" s="17" t="n"/>
      <c r="AO46" s="17" t="n"/>
      <c r="AP46" s="17">
        <f>SUM(AF46,AH46,AJ46,AL46,AN46)</f>
        <v/>
      </c>
      <c r="AQ46" s="17">
        <f>SUM(AG46,AI46,AK46,AM46,AO46)</f>
        <v/>
      </c>
      <c r="AR46" s="17">
        <f>$J46*AP46</f>
        <v/>
      </c>
      <c r="AS46" s="17">
        <f>$J46*AQ46</f>
        <v/>
      </c>
      <c r="AT46" s="17">
        <f>AB46+AP46</f>
        <v/>
      </c>
      <c r="AU46" s="18">
        <f>AD46+AQ46</f>
        <v/>
      </c>
      <c r="AV46" s="17">
        <f>$J46*AT46</f>
        <v/>
      </c>
      <c r="AW46" s="18">
        <f>$J46*AU46</f>
        <v/>
      </c>
      <c r="AX46" s="21" t="inlineStr"/>
      <c r="AY46" s="22" t="n"/>
    </row>
    <row r="47">
      <c r="A47" s="10" t="inlineStr">
        <is>
          <t>GB-043</t>
        </is>
      </c>
      <c r="B47" s="10" t="inlineStr">
        <is>
          <t>Worm Gearbox</t>
        </is>
      </c>
      <c r="C47" s="10" t="inlineStr">
        <is>
          <t>NMRV</t>
        </is>
      </c>
      <c r="D47" s="10" t="inlineStr">
        <is>
          <t>110</t>
        </is>
      </c>
      <c r="E47" s="10" t="n"/>
      <c r="F47" s="10" t="inlineStr">
        <is>
          <t>1:30</t>
        </is>
      </c>
      <c r="G47" s="10" t="inlineStr">
        <is>
          <t>Universal</t>
        </is>
      </c>
      <c r="H47" s="10" t="inlineStr">
        <is>
          <t>Hollow shaft, keyed</t>
        </is>
      </c>
      <c r="I47" s="10" t="inlineStr">
        <is>
          <t>IEC motor adaptor/input</t>
        </is>
      </c>
      <c r="J47" s="10" t="n">
        <v>1</v>
      </c>
      <c r="K47" s="11" t="inlineStr">
        <is>
          <t>S series (worm)</t>
        </is>
      </c>
      <c r="L47" s="12" t="inlineStr">
        <is>
          <t>SP 110  i=30  (IEC B14/B5 input flange, hollow output)</t>
        </is>
      </c>
      <c r="M47" s="13" t="inlineStr">
        <is>
          <t>— (motor power not specified in RFQ)</t>
        </is>
      </c>
      <c r="N47" s="11" t="n">
        <v>30</v>
      </c>
      <c r="O47" s="11" t="n">
        <v>47</v>
      </c>
      <c r="P47" s="11" t="n">
        <v>728</v>
      </c>
      <c r="Q47" s="13" t="inlineStr">
        <is>
          <t>P1 max 4.5 kW at Sf=1</t>
        </is>
      </c>
      <c r="R47" s="13" t="inlineStr">
        <is>
          <t>Reducer table n1=1400 rpm, Sf=1 (η 79%)</t>
        </is>
      </c>
      <c r="S47" s="13" t="inlineStr">
        <is>
          <t>Hollow shaft Ø42 H7, keyed</t>
        </is>
      </c>
      <c r="T47" s="13" t="inlineStr">
        <is>
          <t>IEC 90, 100, 112, 132 (B14 or B5)</t>
        </is>
      </c>
      <c r="U47" s="13" t="inlineStr">
        <is>
          <t>FR/FL output flange; TR/TL torque arm; SR/SL/SD output shaft; oil 211 synthetic VG220 if required</t>
        </is>
      </c>
      <c r="V47" s="13" t="inlineStr">
        <is>
          <t>S-IRS-IRSD 2025: ratings p.62; dims p.83-84</t>
        </is>
      </c>
      <c r="W47" s="13" t="inlineStr">
        <is>
          <t>Direct size-for-size NMRV equivalent (same centre distance and hollow bore). Ratio is a standard catalogue ratio.</t>
        </is>
      </c>
      <c r="X47" s="14" t="inlineStr">
        <is>
          <t>S/SP 110</t>
        </is>
      </c>
      <c r="Y47" s="15" t="inlineStr">
        <is>
          <t>p.55 (S series aluminium worm gear units)</t>
        </is>
      </c>
      <c r="Z47" s="15" t="inlineStr">
        <is>
          <t>YES</t>
        </is>
      </c>
      <c r="AA47" s="15" t="inlineStr">
        <is>
          <t>Gearbox with IEC input flange (SP) and hollow output shaft</t>
        </is>
      </c>
      <c r="AB47" s="16" t="n">
        <v>485</v>
      </c>
      <c r="AC47" s="17">
        <f>$J47*AB47</f>
        <v/>
      </c>
      <c r="AD47" s="18">
        <f>ROUND(AB47*(1-$L$2),2)</f>
        <v/>
      </c>
      <c r="AE47" s="18">
        <f>$J47*AD47</f>
        <v/>
      </c>
      <c r="AF47" s="19" t="n">
        <v>35</v>
      </c>
      <c r="AG47" s="20">
        <f>ROUND(AF47*(1-$L$2),2)</f>
        <v/>
      </c>
      <c r="AH47" s="19" t="n">
        <v>67</v>
      </c>
      <c r="AI47" s="20">
        <f>ROUND(AH47*(1-$L$2),2)</f>
        <v/>
      </c>
      <c r="AJ47" s="19" t="n">
        <v>39</v>
      </c>
      <c r="AK47" s="20">
        <f>ROUND(AJ47*(1-$L$2),2)</f>
        <v/>
      </c>
      <c r="AL47" s="17" t="n"/>
      <c r="AM47" s="17" t="n"/>
      <c r="AN47" s="17" t="n"/>
      <c r="AO47" s="17" t="n"/>
      <c r="AP47" s="17">
        <f>SUM(AF47,AH47,AJ47,AL47,AN47)</f>
        <v/>
      </c>
      <c r="AQ47" s="17">
        <f>SUM(AG47,AI47,AK47,AM47,AO47)</f>
        <v/>
      </c>
      <c r="AR47" s="17">
        <f>$J47*AP47</f>
        <v/>
      </c>
      <c r="AS47" s="17">
        <f>$J47*AQ47</f>
        <v/>
      </c>
      <c r="AT47" s="17">
        <f>AB47+AP47</f>
        <v/>
      </c>
      <c r="AU47" s="18">
        <f>AD47+AQ47</f>
        <v/>
      </c>
      <c r="AV47" s="17">
        <f>$J47*AT47</f>
        <v/>
      </c>
      <c r="AW47" s="18">
        <f>$J47*AU47</f>
        <v/>
      </c>
      <c r="AX47" s="21" t="inlineStr"/>
      <c r="AY47" s="22" t="n"/>
    </row>
    <row r="48">
      <c r="A48" s="10" t="inlineStr">
        <is>
          <t>GB-044</t>
        </is>
      </c>
      <c r="B48" s="10" t="inlineStr">
        <is>
          <t>Worm Gearbox</t>
        </is>
      </c>
      <c r="C48" s="10" t="inlineStr">
        <is>
          <t>NMRV</t>
        </is>
      </c>
      <c r="D48" s="10" t="inlineStr">
        <is>
          <t>110</t>
        </is>
      </c>
      <c r="E48" s="10" t="n"/>
      <c r="F48" s="10" t="inlineStr">
        <is>
          <t>1:40</t>
        </is>
      </c>
      <c r="G48" s="10" t="inlineStr">
        <is>
          <t>Universal</t>
        </is>
      </c>
      <c r="H48" s="10" t="inlineStr">
        <is>
          <t>Hollow shaft, keyed</t>
        </is>
      </c>
      <c r="I48" s="10" t="inlineStr">
        <is>
          <t>IEC motor adaptor/input</t>
        </is>
      </c>
      <c r="J48" s="10" t="n">
        <v>1</v>
      </c>
      <c r="K48" s="11" t="inlineStr">
        <is>
          <t>S series (worm)</t>
        </is>
      </c>
      <c r="L48" s="12" t="inlineStr">
        <is>
          <t>SP 110  i=40  (IEC B14/B5 input flange, hollow output)</t>
        </is>
      </c>
      <c r="M48" s="13" t="inlineStr">
        <is>
          <t>— (motor power not specified in RFQ)</t>
        </is>
      </c>
      <c r="N48" s="11" t="n">
        <v>40</v>
      </c>
      <c r="O48" s="11" t="n">
        <v>35</v>
      </c>
      <c r="P48" s="11" t="n">
        <v>702</v>
      </c>
      <c r="Q48" s="13" t="inlineStr">
        <is>
          <t>P1 max 3.3 kW at Sf=1</t>
        </is>
      </c>
      <c r="R48" s="13" t="inlineStr">
        <is>
          <t>Reducer table n1=1400 rpm, Sf=1 (η 78%)</t>
        </is>
      </c>
      <c r="S48" s="13" t="inlineStr">
        <is>
          <t>Hollow shaft Ø42 H7, keyed</t>
        </is>
      </c>
      <c r="T48" s="13" t="inlineStr">
        <is>
          <t>IEC 90, 100, 112, 132 (B14 or B5)</t>
        </is>
      </c>
      <c r="U48" s="13" t="inlineStr">
        <is>
          <t>FR/FL output flange; TR/TL torque arm; SR/SL/SD output shaft; oil 211 synthetic VG220 if required</t>
        </is>
      </c>
      <c r="V48" s="13" t="inlineStr">
        <is>
          <t>S-IRS-IRSD 2025: ratings p.62; dims p.83-84</t>
        </is>
      </c>
      <c r="W48" s="13" t="inlineStr">
        <is>
          <t>Direct size-for-size NMRV equivalent (same centre distance and hollow bore). Ratio is a standard catalogue ratio.</t>
        </is>
      </c>
      <c r="X48" s="14" t="inlineStr">
        <is>
          <t>S/SP 110</t>
        </is>
      </c>
      <c r="Y48" s="15" t="inlineStr">
        <is>
          <t>p.55 (S series aluminium worm gear units)</t>
        </is>
      </c>
      <c r="Z48" s="15" t="inlineStr">
        <is>
          <t>YES</t>
        </is>
      </c>
      <c r="AA48" s="15" t="inlineStr">
        <is>
          <t>Gearbox with IEC input flange (SP) and hollow output shaft</t>
        </is>
      </c>
      <c r="AB48" s="16" t="n">
        <v>485</v>
      </c>
      <c r="AC48" s="17">
        <f>$J48*AB48</f>
        <v/>
      </c>
      <c r="AD48" s="18">
        <f>ROUND(AB48*(1-$L$2),2)</f>
        <v/>
      </c>
      <c r="AE48" s="18">
        <f>$J48*AD48</f>
        <v/>
      </c>
      <c r="AF48" s="19" t="n">
        <v>35</v>
      </c>
      <c r="AG48" s="20">
        <f>ROUND(AF48*(1-$L$2),2)</f>
        <v/>
      </c>
      <c r="AH48" s="19" t="n">
        <v>67</v>
      </c>
      <c r="AI48" s="20">
        <f>ROUND(AH48*(1-$L$2),2)</f>
        <v/>
      </c>
      <c r="AJ48" s="19" t="n">
        <v>39</v>
      </c>
      <c r="AK48" s="20">
        <f>ROUND(AJ48*(1-$L$2),2)</f>
        <v/>
      </c>
      <c r="AL48" s="17" t="n"/>
      <c r="AM48" s="17" t="n"/>
      <c r="AN48" s="17" t="n"/>
      <c r="AO48" s="17" t="n"/>
      <c r="AP48" s="17">
        <f>SUM(AF48,AH48,AJ48,AL48,AN48)</f>
        <v/>
      </c>
      <c r="AQ48" s="17">
        <f>SUM(AG48,AI48,AK48,AM48,AO48)</f>
        <v/>
      </c>
      <c r="AR48" s="17">
        <f>$J48*AP48</f>
        <v/>
      </c>
      <c r="AS48" s="17">
        <f>$J48*AQ48</f>
        <v/>
      </c>
      <c r="AT48" s="17">
        <f>AB48+AP48</f>
        <v/>
      </c>
      <c r="AU48" s="18">
        <f>AD48+AQ48</f>
        <v/>
      </c>
      <c r="AV48" s="17">
        <f>$J48*AT48</f>
        <v/>
      </c>
      <c r="AW48" s="18">
        <f>$J48*AU48</f>
        <v/>
      </c>
      <c r="AX48" s="21" t="inlineStr"/>
      <c r="AY48" s="22" t="n"/>
    </row>
    <row r="49">
      <c r="A49" s="10" t="inlineStr">
        <is>
          <t>GB-045</t>
        </is>
      </c>
      <c r="B49" s="10" t="inlineStr">
        <is>
          <t>Worm Gearbox</t>
        </is>
      </c>
      <c r="C49" s="10" t="inlineStr">
        <is>
          <t>NMRV</t>
        </is>
      </c>
      <c r="D49" s="10" t="inlineStr">
        <is>
          <t>110</t>
        </is>
      </c>
      <c r="E49" s="10" t="n"/>
      <c r="F49" s="10" t="inlineStr">
        <is>
          <t>1:50</t>
        </is>
      </c>
      <c r="G49" s="10" t="inlineStr">
        <is>
          <t>Universal</t>
        </is>
      </c>
      <c r="H49" s="10" t="inlineStr">
        <is>
          <t>Hollow shaft, keyed</t>
        </is>
      </c>
      <c r="I49" s="10" t="inlineStr">
        <is>
          <t>IEC motor adaptor/input</t>
        </is>
      </c>
      <c r="J49" s="10" t="n">
        <v>1</v>
      </c>
      <c r="K49" s="11" t="inlineStr">
        <is>
          <t>S series (worm)</t>
        </is>
      </c>
      <c r="L49" s="12" t="inlineStr">
        <is>
          <t>SP 110  i=50  (IEC B14/B5 input flange, hollow output)</t>
        </is>
      </c>
      <c r="M49" s="13" t="inlineStr">
        <is>
          <t>— (motor power not specified in RFQ)</t>
        </is>
      </c>
      <c r="N49" s="11" t="n">
        <v>50</v>
      </c>
      <c r="O49" s="11" t="n">
        <v>28</v>
      </c>
      <c r="P49" s="11" t="n">
        <v>656</v>
      </c>
      <c r="Q49" s="13" t="inlineStr">
        <is>
          <t>P1 max 2.6 kW at Sf=1</t>
        </is>
      </c>
      <c r="R49" s="13" t="inlineStr">
        <is>
          <t>Reducer table n1=1400 rpm, Sf=1 (η 74%)</t>
        </is>
      </c>
      <c r="S49" s="13" t="inlineStr">
        <is>
          <t>Hollow shaft Ø42 H7, keyed</t>
        </is>
      </c>
      <c r="T49" s="13" t="inlineStr">
        <is>
          <t>IEC 90, 100, 112, 132 (B14 or B5)</t>
        </is>
      </c>
      <c r="U49" s="13" t="inlineStr">
        <is>
          <t>FR/FL output flange; TR/TL torque arm; SR/SL/SD output shaft; oil 211 synthetic VG220 if required</t>
        </is>
      </c>
      <c r="V49" s="13" t="inlineStr">
        <is>
          <t>S-IRS-IRSD 2025: ratings p.62; dims p.83-84</t>
        </is>
      </c>
      <c r="W49" s="13" t="inlineStr">
        <is>
          <t>Direct size-for-size NMRV equivalent (same centre distance and hollow bore). Ratio is a standard catalogue ratio.</t>
        </is>
      </c>
      <c r="X49" s="14" t="inlineStr">
        <is>
          <t>S/SP 110</t>
        </is>
      </c>
      <c r="Y49" s="15" t="inlineStr">
        <is>
          <t>p.55 (S series aluminium worm gear units)</t>
        </is>
      </c>
      <c r="Z49" s="15" t="inlineStr">
        <is>
          <t>YES</t>
        </is>
      </c>
      <c r="AA49" s="15" t="inlineStr">
        <is>
          <t>Gearbox with IEC input flange (SP) and hollow output shaft</t>
        </is>
      </c>
      <c r="AB49" s="16" t="n">
        <v>485</v>
      </c>
      <c r="AC49" s="17">
        <f>$J49*AB49</f>
        <v/>
      </c>
      <c r="AD49" s="18">
        <f>ROUND(AB49*(1-$L$2),2)</f>
        <v/>
      </c>
      <c r="AE49" s="18">
        <f>$J49*AD49</f>
        <v/>
      </c>
      <c r="AF49" s="19" t="n">
        <v>35</v>
      </c>
      <c r="AG49" s="20">
        <f>ROUND(AF49*(1-$L$2),2)</f>
        <v/>
      </c>
      <c r="AH49" s="19" t="n">
        <v>67</v>
      </c>
      <c r="AI49" s="20">
        <f>ROUND(AH49*(1-$L$2),2)</f>
        <v/>
      </c>
      <c r="AJ49" s="19" t="n">
        <v>39</v>
      </c>
      <c r="AK49" s="20">
        <f>ROUND(AJ49*(1-$L$2),2)</f>
        <v/>
      </c>
      <c r="AL49" s="17" t="n"/>
      <c r="AM49" s="17" t="n"/>
      <c r="AN49" s="17" t="n"/>
      <c r="AO49" s="17" t="n"/>
      <c r="AP49" s="17">
        <f>SUM(AF49,AH49,AJ49,AL49,AN49)</f>
        <v/>
      </c>
      <c r="AQ49" s="17">
        <f>SUM(AG49,AI49,AK49,AM49,AO49)</f>
        <v/>
      </c>
      <c r="AR49" s="17">
        <f>$J49*AP49</f>
        <v/>
      </c>
      <c r="AS49" s="17">
        <f>$J49*AQ49</f>
        <v/>
      </c>
      <c r="AT49" s="17">
        <f>AB49+AP49</f>
        <v/>
      </c>
      <c r="AU49" s="18">
        <f>AD49+AQ49</f>
        <v/>
      </c>
      <c r="AV49" s="17">
        <f>$J49*AT49</f>
        <v/>
      </c>
      <c r="AW49" s="18">
        <f>$J49*AU49</f>
        <v/>
      </c>
      <c r="AX49" s="21" t="inlineStr"/>
      <c r="AY49" s="22" t="n"/>
    </row>
    <row r="50">
      <c r="A50" s="10" t="inlineStr">
        <is>
          <t>GB-046</t>
        </is>
      </c>
      <c r="B50" s="10" t="inlineStr">
        <is>
          <t>Worm Gearbox</t>
        </is>
      </c>
      <c r="C50" s="10" t="inlineStr">
        <is>
          <t>NMRV</t>
        </is>
      </c>
      <c r="D50" s="10" t="inlineStr">
        <is>
          <t>130</t>
        </is>
      </c>
      <c r="E50" s="10" t="n"/>
      <c r="F50" s="10" t="inlineStr">
        <is>
          <t>1:50</t>
        </is>
      </c>
      <c r="G50" s="10" t="inlineStr">
        <is>
          <t>Universal</t>
        </is>
      </c>
      <c r="H50" s="10" t="inlineStr">
        <is>
          <t>Hollow shaft, keyed</t>
        </is>
      </c>
      <c r="I50" s="10" t="inlineStr">
        <is>
          <t>IEC motor adaptor/input</t>
        </is>
      </c>
      <c r="J50" s="10" t="n">
        <v>50</v>
      </c>
      <c r="K50" s="11" t="inlineStr">
        <is>
          <t>İRS series (cast-iron worm)</t>
        </is>
      </c>
      <c r="L50" s="12" t="inlineStr">
        <is>
          <t>İRSAP 127  i=52  (IEC B14/B5 input flange, hollow output)</t>
        </is>
      </c>
      <c r="M50" s="13" t="inlineStr">
        <is>
          <t>— (motor power not specified in RFQ)</t>
        </is>
      </c>
      <c r="N50" s="11" t="n">
        <v>52</v>
      </c>
      <c r="O50" s="11" t="n">
        <v>27</v>
      </c>
      <c r="P50" s="11" t="n">
        <v>1711</v>
      </c>
      <c r="Q50" s="13" t="inlineStr">
        <is>
          <t>P1 max 6.7 kW at Sf=1</t>
        </is>
      </c>
      <c r="R50" s="13" t="inlineStr">
        <is>
          <t>Reducer table n1=1400 rpm, Sf=1 (η 76%)</t>
        </is>
      </c>
      <c r="S50" s="13" t="inlineStr">
        <is>
          <t>Hollow shaft Ø50 H7, keyed</t>
        </is>
      </c>
      <c r="T50" s="13" t="inlineStr">
        <is>
          <t>IEC 100, 112, 132 (B14 or B5)</t>
        </is>
      </c>
      <c r="U50" s="13" t="inlineStr">
        <is>
          <t>Single output shaft; torque arm; İRSF flange-mounted version</t>
        </is>
      </c>
      <c r="V50" s="13" t="inlineStr">
        <is>
          <t>S-IRS-IRSD 2025: ratings p.63; dims p.111-112</t>
        </is>
      </c>
      <c r="W50" s="13" t="inlineStr">
        <is>
          <t>CAST IRON: the price list (p.55) names the S series "ALUMINIUM SERIES WORM GEAR UNITS", so S130/S150 do not meet the cast-iron requirement. Cast-iron İRSA 127 is used instead: i=52 is the closest ratio to 1:50 (+4%), and its rated M2 1711 Nm is at least the S130 rating at that ratio. Hollow bore is Ø50 (NMRV130 is Ø45): a Ø45 bore would be a special hollow shaft (+10% per price list p.1). Aluminium S130 alternative for reference: S/SP 130 list €633.00, net €411.45.</t>
        </is>
      </c>
      <c r="X50" s="14" t="inlineStr">
        <is>
          <t>IRS-IRSP 127 (IRSA, foot mounted)</t>
        </is>
      </c>
      <c r="Y50" s="15" t="inlineStr">
        <is>
          <t>p.51 (IRS series)</t>
        </is>
      </c>
      <c r="Z50" s="15" t="inlineStr">
        <is>
          <t>YES</t>
        </is>
      </c>
      <c r="AA50" s="15" t="inlineStr">
        <is>
          <t>Cast-iron gearbox with IEC input flange (IRSP) and hollow output shaft</t>
        </is>
      </c>
      <c r="AB50" s="16" t="n">
        <v>826</v>
      </c>
      <c r="AC50" s="17">
        <f>$J50*AB50</f>
        <v/>
      </c>
      <c r="AD50" s="18">
        <f>ROUND(AB50*(1-$L$2),2)</f>
        <v/>
      </c>
      <c r="AE50" s="18">
        <f>$J50*AD50</f>
        <v/>
      </c>
      <c r="AF50" s="19" t="n">
        <v>60</v>
      </c>
      <c r="AG50" s="20">
        <f>ROUND(AF50*(1-$L$2),2)</f>
        <v/>
      </c>
      <c r="AH50" s="19" t="n">
        <v>45</v>
      </c>
      <c r="AI50" s="20">
        <f>ROUND(AH50*(1-$L$2),2)</f>
        <v/>
      </c>
      <c r="AJ50" s="19" t="n">
        <v>34</v>
      </c>
      <c r="AK50" s="20">
        <f>ROUND(AJ50*(1-$L$2),2)</f>
        <v/>
      </c>
      <c r="AL50" s="17" t="n"/>
      <c r="AM50" s="17" t="n"/>
      <c r="AN50" s="17" t="n"/>
      <c r="AO50" s="17" t="n"/>
      <c r="AP50" s="17">
        <f>SUM(AF50,AH50,AJ50,AL50,AN50)</f>
        <v/>
      </c>
      <c r="AQ50" s="17">
        <f>SUM(AG50,AI50,AK50,AM50,AO50)</f>
        <v/>
      </c>
      <c r="AR50" s="17">
        <f>$J50*AP50</f>
        <v/>
      </c>
      <c r="AS50" s="17">
        <f>$J50*AQ50</f>
        <v/>
      </c>
      <c r="AT50" s="17">
        <f>AB50+AP50</f>
        <v/>
      </c>
      <c r="AU50" s="18">
        <f>AD50+AQ50</f>
        <v/>
      </c>
      <c r="AV50" s="17">
        <f>$J50*AT50</f>
        <v/>
      </c>
      <c r="AW50" s="18">
        <f>$J50*AU50</f>
        <v/>
      </c>
      <c r="AX50" s="21" t="inlineStr">
        <is>
          <t>Output flange on IRK/YP/İRS lines = extra cost of the flange-mounted version.</t>
        </is>
      </c>
      <c r="AY50" s="22" t="n"/>
    </row>
    <row r="51">
      <c r="A51" s="10" t="inlineStr">
        <is>
          <t>GB-047</t>
        </is>
      </c>
      <c r="B51" s="10" t="inlineStr">
        <is>
          <t>Worm Gearbox</t>
        </is>
      </c>
      <c r="C51" s="10" t="inlineStr">
        <is>
          <t>NMRV</t>
        </is>
      </c>
      <c r="D51" s="10" t="inlineStr">
        <is>
          <t>130</t>
        </is>
      </c>
      <c r="E51" s="10" t="n"/>
      <c r="F51" s="10" t="inlineStr">
        <is>
          <t>1:60</t>
        </is>
      </c>
      <c r="G51" s="10" t="inlineStr">
        <is>
          <t>Universal</t>
        </is>
      </c>
      <c r="H51" s="10" t="inlineStr">
        <is>
          <t>Hollow shaft, keyed</t>
        </is>
      </c>
      <c r="I51" s="10" t="inlineStr">
        <is>
          <t>IEC motor adaptor/input</t>
        </is>
      </c>
      <c r="J51" s="10" t="n">
        <v>50</v>
      </c>
      <c r="K51" s="11" t="inlineStr">
        <is>
          <t>İRS series (cast-iron worm)</t>
        </is>
      </c>
      <c r="L51" s="12" t="inlineStr">
        <is>
          <t>İRSAP 127  i=65  (IEC B14/B5 input flange, hollow output)</t>
        </is>
      </c>
      <c r="M51" s="13" t="inlineStr">
        <is>
          <t>— (motor power not specified in RFQ)</t>
        </is>
      </c>
      <c r="N51" s="11" t="n">
        <v>65</v>
      </c>
      <c r="O51" s="11" t="n">
        <v>22</v>
      </c>
      <c r="P51" s="11" t="n">
        <v>1268</v>
      </c>
      <c r="Q51" s="13" t="inlineStr">
        <is>
          <t>P1 max 4.4 kW at Sf=1</t>
        </is>
      </c>
      <c r="R51" s="13" t="inlineStr">
        <is>
          <t>Reducer table n1=1400 rpm, Sf=1 (η 71%)</t>
        </is>
      </c>
      <c r="S51" s="13" t="inlineStr">
        <is>
          <t>Hollow shaft Ø50 H7, keyed</t>
        </is>
      </c>
      <c r="T51" s="13" t="inlineStr">
        <is>
          <t>IEC 100, 112, 132 (B14 or B5)</t>
        </is>
      </c>
      <c r="U51" s="13" t="inlineStr">
        <is>
          <t>Single output shaft; torque arm; İRSF flange-mounted version</t>
        </is>
      </c>
      <c r="V51" s="13" t="inlineStr">
        <is>
          <t>S-IRS-IRSD 2025: ratings p.63; dims p.111-112</t>
        </is>
      </c>
      <c r="W51" s="13" t="inlineStr">
        <is>
          <t>CAST IRON: the price list (p.55) names the S series "ALUMINIUM SERIES WORM GEAR UNITS", so S130/S150 do not meet the cast-iron requirement. Cast-iron İRSA 127 is used instead: i=65 is the closest ratio to 1:60 (+8%), and its rated M2 1268 Nm is at least the S130 rating at that ratio. Hollow bore is Ø50 (NMRV130 is Ø45): a Ø45 bore would be a special hollow shaft (+10% per price list p.1). Aluminium S130 alternative for reference: S/SP 130 list €633.00, net €411.45.</t>
        </is>
      </c>
      <c r="X51" s="14" t="inlineStr">
        <is>
          <t>IRS-IRSP 127 (IRSA, foot mounted)</t>
        </is>
      </c>
      <c r="Y51" s="15" t="inlineStr">
        <is>
          <t>p.51 (IRS series)</t>
        </is>
      </c>
      <c r="Z51" s="15" t="inlineStr">
        <is>
          <t>YES</t>
        </is>
      </c>
      <c r="AA51" s="15" t="inlineStr">
        <is>
          <t>Cast-iron gearbox with IEC input flange (IRSP) and hollow output shaft</t>
        </is>
      </c>
      <c r="AB51" s="16" t="n">
        <v>826</v>
      </c>
      <c r="AC51" s="17">
        <f>$J51*AB51</f>
        <v/>
      </c>
      <c r="AD51" s="18">
        <f>ROUND(AB51*(1-$L$2),2)</f>
        <v/>
      </c>
      <c r="AE51" s="18">
        <f>$J51*AD51</f>
        <v/>
      </c>
      <c r="AF51" s="19" t="n">
        <v>60</v>
      </c>
      <c r="AG51" s="20">
        <f>ROUND(AF51*(1-$L$2),2)</f>
        <v/>
      </c>
      <c r="AH51" s="19" t="n">
        <v>45</v>
      </c>
      <c r="AI51" s="20">
        <f>ROUND(AH51*(1-$L$2),2)</f>
        <v/>
      </c>
      <c r="AJ51" s="19" t="n">
        <v>34</v>
      </c>
      <c r="AK51" s="20">
        <f>ROUND(AJ51*(1-$L$2),2)</f>
        <v/>
      </c>
      <c r="AL51" s="17" t="n"/>
      <c r="AM51" s="17" t="n"/>
      <c r="AN51" s="17" t="n"/>
      <c r="AO51" s="17" t="n"/>
      <c r="AP51" s="17">
        <f>SUM(AF51,AH51,AJ51,AL51,AN51)</f>
        <v/>
      </c>
      <c r="AQ51" s="17">
        <f>SUM(AG51,AI51,AK51,AM51,AO51)</f>
        <v/>
      </c>
      <c r="AR51" s="17">
        <f>$J51*AP51</f>
        <v/>
      </c>
      <c r="AS51" s="17">
        <f>$J51*AQ51</f>
        <v/>
      </c>
      <c r="AT51" s="17">
        <f>AB51+AP51</f>
        <v/>
      </c>
      <c r="AU51" s="18">
        <f>AD51+AQ51</f>
        <v/>
      </c>
      <c r="AV51" s="17">
        <f>$J51*AT51</f>
        <v/>
      </c>
      <c r="AW51" s="18">
        <f>$J51*AU51</f>
        <v/>
      </c>
      <c r="AX51" s="21" t="inlineStr">
        <is>
          <t>Output flange on IRK/YP/İRS lines = extra cost of the flange-mounted version.</t>
        </is>
      </c>
      <c r="AY51" s="22" t="n"/>
    </row>
    <row r="52">
      <c r="A52" s="10" t="inlineStr">
        <is>
          <t>GB-048</t>
        </is>
      </c>
      <c r="B52" s="10" t="inlineStr">
        <is>
          <t>Worm Gearbox</t>
        </is>
      </c>
      <c r="C52" s="10" t="inlineStr">
        <is>
          <t>NMRV</t>
        </is>
      </c>
      <c r="D52" s="10" t="inlineStr">
        <is>
          <t>150</t>
        </is>
      </c>
      <c r="E52" s="10" t="n"/>
      <c r="F52" s="10" t="inlineStr">
        <is>
          <t>1:50</t>
        </is>
      </c>
      <c r="G52" s="10" t="inlineStr">
        <is>
          <t>Universal</t>
        </is>
      </c>
      <c r="H52" s="10" t="inlineStr">
        <is>
          <t>Hollow shaft, keyed</t>
        </is>
      </c>
      <c r="I52" s="10" t="inlineStr">
        <is>
          <t>IEC motor adaptor/input</t>
        </is>
      </c>
      <c r="J52" s="10" t="n">
        <v>50</v>
      </c>
      <c r="K52" s="11" t="inlineStr">
        <is>
          <t>İRS series (cast-iron worm)</t>
        </is>
      </c>
      <c r="L52" s="12" t="inlineStr">
        <is>
          <t>İRSAP 127  i=52  (IEC B14/B5 input flange, hollow output)</t>
        </is>
      </c>
      <c r="M52" s="13" t="inlineStr">
        <is>
          <t>— (motor power not specified in RFQ)</t>
        </is>
      </c>
      <c r="N52" s="11" t="n">
        <v>52</v>
      </c>
      <c r="O52" s="11" t="n">
        <v>27</v>
      </c>
      <c r="P52" s="11" t="n">
        <v>1711</v>
      </c>
      <c r="Q52" s="13" t="inlineStr">
        <is>
          <t>P1 max 6.7 kW at Sf=1</t>
        </is>
      </c>
      <c r="R52" s="13" t="inlineStr">
        <is>
          <t>Reducer table n1=1400 rpm, Sf=1 (η 76%)</t>
        </is>
      </c>
      <c r="S52" s="13" t="inlineStr">
        <is>
          <t>Hollow shaft Ø50 H7, keyed</t>
        </is>
      </c>
      <c r="T52" s="13" t="inlineStr">
        <is>
          <t>IEC 100, 112, 132 (B14 or B5)</t>
        </is>
      </c>
      <c r="U52" s="13" t="inlineStr">
        <is>
          <t>Single output shaft; torque arm; İRSF flange-mounted version</t>
        </is>
      </c>
      <c r="V52" s="13" t="inlineStr">
        <is>
          <t>S-IRS-IRSD 2025: ratings p.63; dims p.111-112</t>
        </is>
      </c>
      <c r="W52" s="13" t="inlineStr">
        <is>
          <t>CAST IRON: the price list (p.55) names the S series "ALUMINIUM SERIES WORM GEAR UNITS", so S130/S150 do not meet the cast-iron requirement. Cast-iron İRSA 127 is used instead: i=52 is the closest ratio to 1:50 (+4%), and its rated M2 1711 Nm is at least the S150 rating at that ratio. Hollow bore Ø50 is the same as NMRV150. Aluminium S150 alternative for reference: S/SP 150 list €1,022.00, net €664.30.</t>
        </is>
      </c>
      <c r="X52" s="14" t="inlineStr">
        <is>
          <t>IRS-IRSP 127 (IRSA, foot mounted)</t>
        </is>
      </c>
      <c r="Y52" s="15" t="inlineStr">
        <is>
          <t>p.51 (IRS series)</t>
        </is>
      </c>
      <c r="Z52" s="15" t="inlineStr">
        <is>
          <t>YES</t>
        </is>
      </c>
      <c r="AA52" s="15" t="inlineStr">
        <is>
          <t>Cast-iron gearbox with IEC input flange (IRSP) and hollow output shaft</t>
        </is>
      </c>
      <c r="AB52" s="16" t="n">
        <v>826</v>
      </c>
      <c r="AC52" s="17">
        <f>$J52*AB52</f>
        <v/>
      </c>
      <c r="AD52" s="18">
        <f>ROUND(AB52*(1-$L$2),2)</f>
        <v/>
      </c>
      <c r="AE52" s="18">
        <f>$J52*AD52</f>
        <v/>
      </c>
      <c r="AF52" s="19" t="n">
        <v>60</v>
      </c>
      <c r="AG52" s="20">
        <f>ROUND(AF52*(1-$L$2),2)</f>
        <v/>
      </c>
      <c r="AH52" s="19" t="n">
        <v>45</v>
      </c>
      <c r="AI52" s="20">
        <f>ROUND(AH52*(1-$L$2),2)</f>
        <v/>
      </c>
      <c r="AJ52" s="19" t="n">
        <v>34</v>
      </c>
      <c r="AK52" s="20">
        <f>ROUND(AJ52*(1-$L$2),2)</f>
        <v/>
      </c>
      <c r="AL52" s="17" t="n"/>
      <c r="AM52" s="17" t="n"/>
      <c r="AN52" s="17" t="n"/>
      <c r="AO52" s="17" t="n"/>
      <c r="AP52" s="17">
        <f>SUM(AF52,AH52,AJ52,AL52,AN52)</f>
        <v/>
      </c>
      <c r="AQ52" s="17">
        <f>SUM(AG52,AI52,AK52,AM52,AO52)</f>
        <v/>
      </c>
      <c r="AR52" s="17">
        <f>$J52*AP52</f>
        <v/>
      </c>
      <c r="AS52" s="17">
        <f>$J52*AQ52</f>
        <v/>
      </c>
      <c r="AT52" s="17">
        <f>AB52+AP52</f>
        <v/>
      </c>
      <c r="AU52" s="18">
        <f>AD52+AQ52</f>
        <v/>
      </c>
      <c r="AV52" s="17">
        <f>$J52*AT52</f>
        <v/>
      </c>
      <c r="AW52" s="18">
        <f>$J52*AU52</f>
        <v/>
      </c>
      <c r="AX52" s="21" t="inlineStr">
        <is>
          <t>Output flange on IRK/YP/İRS lines = extra cost of the flange-mounted version.</t>
        </is>
      </c>
      <c r="AY52" s="22" t="n"/>
    </row>
    <row r="53">
      <c r="A53" s="10" t="inlineStr">
        <is>
          <t>GB-049</t>
        </is>
      </c>
      <c r="B53" s="10" t="inlineStr">
        <is>
          <t>Worm Gearbox</t>
        </is>
      </c>
      <c r="C53" s="10" t="inlineStr">
        <is>
          <t>NMRV</t>
        </is>
      </c>
      <c r="D53" s="10" t="inlineStr">
        <is>
          <t>150</t>
        </is>
      </c>
      <c r="E53" s="10" t="n"/>
      <c r="F53" s="10" t="inlineStr">
        <is>
          <t>1:60</t>
        </is>
      </c>
      <c r="G53" s="10" t="inlineStr">
        <is>
          <t>Universal</t>
        </is>
      </c>
      <c r="H53" s="10" t="inlineStr">
        <is>
          <t>Hollow shaft, keyed</t>
        </is>
      </c>
      <c r="I53" s="10" t="inlineStr">
        <is>
          <t>IEC motor adaptor/input</t>
        </is>
      </c>
      <c r="J53" s="10" t="n">
        <v>50</v>
      </c>
      <c r="K53" s="11" t="inlineStr">
        <is>
          <t>İRS series (cast-iron worm)</t>
        </is>
      </c>
      <c r="L53" s="12" t="inlineStr">
        <is>
          <t>İRSAP 127  i=65  (IEC B14/B5 input flange, hollow output)</t>
        </is>
      </c>
      <c r="M53" s="13" t="inlineStr">
        <is>
          <t>— (motor power not specified in RFQ)</t>
        </is>
      </c>
      <c r="N53" s="11" t="n">
        <v>65</v>
      </c>
      <c r="O53" s="11" t="n">
        <v>22</v>
      </c>
      <c r="P53" s="11" t="n">
        <v>1268</v>
      </c>
      <c r="Q53" s="13" t="inlineStr">
        <is>
          <t>P1 max 4.4 kW at Sf=1</t>
        </is>
      </c>
      <c r="R53" s="13" t="inlineStr">
        <is>
          <t>Reducer table n1=1400 rpm, Sf=1 (η 73%)</t>
        </is>
      </c>
      <c r="S53" s="13" t="inlineStr">
        <is>
          <t>Hollow shaft Ø50 H7, keyed</t>
        </is>
      </c>
      <c r="T53" s="13" t="inlineStr">
        <is>
          <t>IEC 100, 112, 132 (B14 or B5)</t>
        </is>
      </c>
      <c r="U53" s="13" t="inlineStr">
        <is>
          <t>Single output shaft; torque arm; İRSF flange-mounted version</t>
        </is>
      </c>
      <c r="V53" s="13" t="inlineStr">
        <is>
          <t>S-IRS-IRSD 2025: ratings p.63; dims p.111-112</t>
        </is>
      </c>
      <c r="W53" s="13" t="inlineStr">
        <is>
          <t>CAST IRON: the price list (p.55) names the S series "ALUMINIUM SERIES WORM GEAR UNITS", so S130/S150 do not meet the cast-iron requirement. Cast-iron İRSA 127 is used instead: i=65 is the closest ratio to 1:60 (+8%), and its rated M2 1268 Nm is at least the S150 rating at that ratio. Hollow bore Ø50 is the same as NMRV150. Aluminium S150 alternative for reference: S/SP 150 list €1,022.00, net €664.30.</t>
        </is>
      </c>
      <c r="X53" s="14" t="inlineStr">
        <is>
          <t>IRS-IRSP 127 (IRSA, foot mounted)</t>
        </is>
      </c>
      <c r="Y53" s="15" t="inlineStr">
        <is>
          <t>p.51 (IRS series)</t>
        </is>
      </c>
      <c r="Z53" s="15" t="inlineStr">
        <is>
          <t>YES</t>
        </is>
      </c>
      <c r="AA53" s="15" t="inlineStr">
        <is>
          <t>Cast-iron gearbox with IEC input flange (IRSP) and hollow output shaft</t>
        </is>
      </c>
      <c r="AB53" s="16" t="n">
        <v>826</v>
      </c>
      <c r="AC53" s="17">
        <f>$J53*AB53</f>
        <v/>
      </c>
      <c r="AD53" s="18">
        <f>ROUND(AB53*(1-$L$2),2)</f>
        <v/>
      </c>
      <c r="AE53" s="18">
        <f>$J53*AD53</f>
        <v/>
      </c>
      <c r="AF53" s="19" t="n">
        <v>60</v>
      </c>
      <c r="AG53" s="20">
        <f>ROUND(AF53*(1-$L$2),2)</f>
        <v/>
      </c>
      <c r="AH53" s="19" t="n">
        <v>45</v>
      </c>
      <c r="AI53" s="20">
        <f>ROUND(AH53*(1-$L$2),2)</f>
        <v/>
      </c>
      <c r="AJ53" s="19" t="n">
        <v>34</v>
      </c>
      <c r="AK53" s="20">
        <f>ROUND(AJ53*(1-$L$2),2)</f>
        <v/>
      </c>
      <c r="AL53" s="17" t="n"/>
      <c r="AM53" s="17" t="n"/>
      <c r="AN53" s="17" t="n"/>
      <c r="AO53" s="17" t="n"/>
      <c r="AP53" s="17">
        <f>SUM(AF53,AH53,AJ53,AL53,AN53)</f>
        <v/>
      </c>
      <c r="AQ53" s="17">
        <f>SUM(AG53,AI53,AK53,AM53,AO53)</f>
        <v/>
      </c>
      <c r="AR53" s="17">
        <f>$J53*AP53</f>
        <v/>
      </c>
      <c r="AS53" s="17">
        <f>$J53*AQ53</f>
        <v/>
      </c>
      <c r="AT53" s="17">
        <f>AB53+AP53</f>
        <v/>
      </c>
      <c r="AU53" s="18">
        <f>AD53+AQ53</f>
        <v/>
      </c>
      <c r="AV53" s="17">
        <f>$J53*AT53</f>
        <v/>
      </c>
      <c r="AW53" s="18">
        <f>$J53*AU53</f>
        <v/>
      </c>
      <c r="AX53" s="21" t="inlineStr">
        <is>
          <t>Output flange on IRK/YP/İRS lines = extra cost of the flange-mounted version.</t>
        </is>
      </c>
      <c r="AY53" s="22" t="n"/>
    </row>
    <row r="54">
      <c r="A54" s="10" t="inlineStr">
        <is>
          <t>GB-050</t>
        </is>
      </c>
      <c r="B54" s="10" t="inlineStr">
        <is>
          <t>Helical Inline</t>
        </is>
      </c>
      <c r="C54" s="10" t="inlineStr">
        <is>
          <t>R / Equivalent</t>
        </is>
      </c>
      <c r="D54" s="10" t="inlineStr">
        <is>
          <t>Supplier selection</t>
        </is>
      </c>
      <c r="E54" s="10" t="n">
        <v>0.37</v>
      </c>
      <c r="F54" s="10" t="inlineStr">
        <is>
          <t>1:10</t>
        </is>
      </c>
      <c r="G54" s="10" t="inlineStr">
        <is>
          <t>B3 foot</t>
        </is>
      </c>
      <c r="H54" s="10" t="inlineStr">
        <is>
          <t>Solid output shaft</t>
        </is>
      </c>
      <c r="I54" s="10" t="inlineStr">
        <is>
          <t>IEC motor adaptor/input</t>
        </is>
      </c>
      <c r="J54" s="10" t="n">
        <v>1</v>
      </c>
      <c r="K54" s="11" t="inlineStr">
        <is>
          <t>İR (helical inline)</t>
        </is>
      </c>
      <c r="L54" s="12" t="inlineStr">
        <is>
          <t>İRAP 42  i=9.845  + IEC 71 B5 input (code 155)</t>
        </is>
      </c>
      <c r="M54" s="13" t="inlineStr">
        <is>
          <t>İRAM 42 / 71 M 4b</t>
        </is>
      </c>
      <c r="N54" s="11" t="n">
        <v>9.845000000000001</v>
      </c>
      <c r="O54" s="11" t="n">
        <v>142</v>
      </c>
      <c r="P54" s="11" t="n">
        <v>24</v>
      </c>
      <c r="Q54" s="13" t="inlineStr">
        <is>
          <t>Sf 1.94</t>
        </is>
      </c>
      <c r="R54" s="13" t="inlineStr">
        <is>
          <t>Gearmotor table, 4-pole motor, n1≈1400 rpm</t>
        </is>
      </c>
      <c r="S54" s="13" t="inlineStr">
        <is>
          <t>Solid output shaft (foot mounted)</t>
        </is>
      </c>
      <c r="T54" s="13" t="inlineStr">
        <is>
          <t>IEC 71 B5 (motor 71 M 4b)</t>
        </is>
      </c>
      <c r="U54" s="13" t="inlineStr">
        <is>
          <t>IEC B5 input flange 155 (or 156 PAM with coupling); İRAFM foot+flange version available</t>
        </is>
      </c>
      <c r="V54" s="13" t="inlineStr">
        <is>
          <t>IR 2024: ratings p.52; dims p.195-197</t>
        </is>
      </c>
      <c r="W54" s="13" t="inlineStr">
        <is>
          <t>Smallest housing with Sf ≥ 1.5 at 0.37 kW / 1400 rpm. Ratio deviation -1.5% vs 1:10. Quote both reducer-only and gearmotor lines (RFQ).</t>
        </is>
      </c>
      <c r="X54" s="14" t="inlineStr">
        <is>
          <t>IRAP 42 – IEC 71 B5 / B14</t>
        </is>
      </c>
      <c r="Y54" s="15" t="inlineStr">
        <is>
          <t>p.15 (IRP series, IEC B5/B14 flanged)</t>
        </is>
      </c>
      <c r="Z54" s="15" t="inlineStr">
        <is>
          <t>YES</t>
        </is>
      </c>
      <c r="AA54" s="15" t="inlineStr">
        <is>
          <t>Gear unit with IEC input flange, solid output shaft, foot mounted</t>
        </is>
      </c>
      <c r="AB54" s="16" t="n">
        <v>224</v>
      </c>
      <c r="AC54" s="17">
        <f>$J54*AB54</f>
        <v/>
      </c>
      <c r="AD54" s="18">
        <f>ROUND(AB54*(1-$L$2),2)</f>
        <v/>
      </c>
      <c r="AE54" s="18">
        <f>$J54*AD54</f>
        <v/>
      </c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>
        <f>SUM(AF54,AH54,AJ54,AL54,AN54)</f>
        <v/>
      </c>
      <c r="AQ54" s="17">
        <f>SUM(AG54,AI54,AK54,AM54,AO54)</f>
        <v/>
      </c>
      <c r="AR54" s="17">
        <f>$J54*AP54</f>
        <v/>
      </c>
      <c r="AS54" s="17">
        <f>$J54*AQ54</f>
        <v/>
      </c>
      <c r="AT54" s="17">
        <f>AB54+AP54</f>
        <v/>
      </c>
      <c r="AU54" s="18">
        <f>AD54+AQ54</f>
        <v/>
      </c>
      <c r="AV54" s="17">
        <f>$J54*AT54</f>
        <v/>
      </c>
      <c r="AW54" s="18">
        <f>$J54*AU54</f>
        <v/>
      </c>
      <c r="AX54" s="21" t="inlineStr">
        <is>
          <t>No separately priced options for İR in the RFQ (gearmotor alternative not priced)</t>
        </is>
      </c>
      <c r="AY54" s="22" t="n"/>
    </row>
    <row r="55">
      <c r="A55" s="10" t="inlineStr">
        <is>
          <t>GB-051</t>
        </is>
      </c>
      <c r="B55" s="10" t="inlineStr">
        <is>
          <t>Helical Inline</t>
        </is>
      </c>
      <c r="C55" s="10" t="inlineStr">
        <is>
          <t>R / Equivalent</t>
        </is>
      </c>
      <c r="D55" s="10" t="inlineStr">
        <is>
          <t>Supplier selection</t>
        </is>
      </c>
      <c r="E55" s="10" t="n">
        <v>0.37</v>
      </c>
      <c r="F55" s="10" t="inlineStr">
        <is>
          <t>1:20</t>
        </is>
      </c>
      <c r="G55" s="10" t="inlineStr">
        <is>
          <t>B3 foot</t>
        </is>
      </c>
      <c r="H55" s="10" t="inlineStr">
        <is>
          <t>Solid output shaft</t>
        </is>
      </c>
      <c r="I55" s="10" t="inlineStr">
        <is>
          <t>IEC motor adaptor/input</t>
        </is>
      </c>
      <c r="J55" s="10" t="n">
        <v>1</v>
      </c>
      <c r="K55" s="11" t="inlineStr">
        <is>
          <t>İR (helical inline)</t>
        </is>
      </c>
      <c r="L55" s="12" t="inlineStr">
        <is>
          <t>İRAP 43  i=20.0  + IEC 71 B5 input (code 155)</t>
        </is>
      </c>
      <c r="M55" s="13" t="inlineStr">
        <is>
          <t>İRAM 43 / 71 M 4b</t>
        </is>
      </c>
      <c r="N55" s="11" t="n">
        <v>20</v>
      </c>
      <c r="O55" s="11" t="n">
        <v>69</v>
      </c>
      <c r="P55" s="11" t="n">
        <v>49</v>
      </c>
      <c r="Q55" s="13" t="inlineStr">
        <is>
          <t>Sf 1.68</t>
        </is>
      </c>
      <c r="R55" s="13" t="inlineStr">
        <is>
          <t>Gearmotor table, 4-pole motor, n1≈1400 rpm</t>
        </is>
      </c>
      <c r="S55" s="13" t="inlineStr">
        <is>
          <t>Solid output shaft (foot mounted)</t>
        </is>
      </c>
      <c r="T55" s="13" t="inlineStr">
        <is>
          <t>IEC 71 B5 (motor 71 M 4b)</t>
        </is>
      </c>
      <c r="U55" s="13" t="inlineStr">
        <is>
          <t>IEC B5 input flange 155 (or 156 PAM with coupling); İRAFM foot+flange version available</t>
        </is>
      </c>
      <c r="V55" s="13" t="inlineStr">
        <is>
          <t>IR 2024: ratings p.52; dims p.195-197</t>
        </is>
      </c>
      <c r="W55" s="13" t="inlineStr">
        <is>
          <t>Smallest housing with Sf ≥ 1.5 at 0.37 kW / 1400 rpm. Ratio deviation +0.0% vs 1:20. Quote both reducer-only and gearmotor lines (RFQ).</t>
        </is>
      </c>
      <c r="X55" s="14" t="inlineStr">
        <is>
          <t>IRAP 43 – IEC 71 B5 / B14</t>
        </is>
      </c>
      <c r="Y55" s="15" t="inlineStr">
        <is>
          <t>p.15 (IRP series, IEC B5/B14 flanged)</t>
        </is>
      </c>
      <c r="Z55" s="15" t="inlineStr">
        <is>
          <t>YES</t>
        </is>
      </c>
      <c r="AA55" s="15" t="inlineStr">
        <is>
          <t>Gear unit with IEC input flange, solid output shaft, foot mounted</t>
        </is>
      </c>
      <c r="AB55" s="16" t="n">
        <v>228</v>
      </c>
      <c r="AC55" s="17">
        <f>$J55*AB55</f>
        <v/>
      </c>
      <c r="AD55" s="18">
        <f>ROUND(AB55*(1-$L$2),2)</f>
        <v/>
      </c>
      <c r="AE55" s="18">
        <f>$J55*AD55</f>
        <v/>
      </c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>
        <f>SUM(AF55,AH55,AJ55,AL55,AN55)</f>
        <v/>
      </c>
      <c r="AQ55" s="17">
        <f>SUM(AG55,AI55,AK55,AM55,AO55)</f>
        <v/>
      </c>
      <c r="AR55" s="17">
        <f>$J55*AP55</f>
        <v/>
      </c>
      <c r="AS55" s="17">
        <f>$J55*AQ55</f>
        <v/>
      </c>
      <c r="AT55" s="17">
        <f>AB55+AP55</f>
        <v/>
      </c>
      <c r="AU55" s="18">
        <f>AD55+AQ55</f>
        <v/>
      </c>
      <c r="AV55" s="17">
        <f>$J55*AT55</f>
        <v/>
      </c>
      <c r="AW55" s="18">
        <f>$J55*AU55</f>
        <v/>
      </c>
      <c r="AX55" s="21" t="inlineStr">
        <is>
          <t>No separately priced options for İR in the RFQ (gearmotor alternative not priced)</t>
        </is>
      </c>
      <c r="AY55" s="22" t="n"/>
    </row>
    <row r="56">
      <c r="A56" s="10" t="inlineStr">
        <is>
          <t>GB-052</t>
        </is>
      </c>
      <c r="B56" s="10" t="inlineStr">
        <is>
          <t>Helical Inline</t>
        </is>
      </c>
      <c r="C56" s="10" t="inlineStr">
        <is>
          <t>R / Equivalent</t>
        </is>
      </c>
      <c r="D56" s="10" t="inlineStr">
        <is>
          <t>Supplier selection</t>
        </is>
      </c>
      <c r="E56" s="10" t="n">
        <v>0.37</v>
      </c>
      <c r="F56" s="10" t="inlineStr">
        <is>
          <t>1:30</t>
        </is>
      </c>
      <c r="G56" s="10" t="inlineStr">
        <is>
          <t>B3 foot</t>
        </is>
      </c>
      <c r="H56" s="10" t="inlineStr">
        <is>
          <t>Solid output shaft</t>
        </is>
      </c>
      <c r="I56" s="10" t="inlineStr">
        <is>
          <t>IEC motor adaptor/input</t>
        </is>
      </c>
      <c r="J56" s="10" t="n">
        <v>1</v>
      </c>
      <c r="K56" s="11" t="inlineStr">
        <is>
          <t>İR (helical inline)</t>
        </is>
      </c>
      <c r="L56" s="12" t="inlineStr">
        <is>
          <t>İRAP 53  i=31.33  + IEC 71 B5 input (code 155)</t>
        </is>
      </c>
      <c r="M56" s="13" t="inlineStr">
        <is>
          <t>İRAM 53 / 71 M 4b</t>
        </is>
      </c>
      <c r="N56" s="11" t="n">
        <v>31.33</v>
      </c>
      <c r="O56" s="11" t="n">
        <v>44</v>
      </c>
      <c r="P56" s="11" t="n">
        <v>77</v>
      </c>
      <c r="Q56" s="13" t="inlineStr">
        <is>
          <t>Sf 2.49</t>
        </is>
      </c>
      <c r="R56" s="13" t="inlineStr">
        <is>
          <t>Gearmotor table, 4-pole motor, n1≈1400 rpm</t>
        </is>
      </c>
      <c r="S56" s="13" t="inlineStr">
        <is>
          <t>Solid output shaft (foot mounted)</t>
        </is>
      </c>
      <c r="T56" s="13" t="inlineStr">
        <is>
          <t>IEC 71 B5 (motor 71 M 4b)</t>
        </is>
      </c>
      <c r="U56" s="13" t="inlineStr">
        <is>
          <t>IEC B5 input flange 155 (or 156 PAM with coupling); İRAFM foot+flange version available</t>
        </is>
      </c>
      <c r="V56" s="13" t="inlineStr">
        <is>
          <t>IR 2024: ratings p.52; dims p.201-203</t>
        </is>
      </c>
      <c r="W56" s="13" t="inlineStr">
        <is>
          <t>Smallest housing with Sf ≥ 1.5 at 0.37 kW / 1400 rpm. Ratio deviation +4.4% vs 1:30. Quote both reducer-only and gearmotor lines (RFQ).</t>
        </is>
      </c>
      <c r="X56" s="14" t="inlineStr">
        <is>
          <t>IRAP 53 – IEC 71 B5 / B14</t>
        </is>
      </c>
      <c r="Y56" s="15" t="inlineStr">
        <is>
          <t>p.15 (IRP series, IEC B5/B14 flanged)</t>
        </is>
      </c>
      <c r="Z56" s="15" t="inlineStr">
        <is>
          <t>YES</t>
        </is>
      </c>
      <c r="AA56" s="15" t="inlineStr">
        <is>
          <t>Gear unit with IEC input flange, solid output shaft, foot mounted</t>
        </is>
      </c>
      <c r="AB56" s="16" t="n">
        <v>278</v>
      </c>
      <c r="AC56" s="17">
        <f>$J56*AB56</f>
        <v/>
      </c>
      <c r="AD56" s="18">
        <f>ROUND(AB56*(1-$L$2),2)</f>
        <v/>
      </c>
      <c r="AE56" s="18">
        <f>$J56*AD56</f>
        <v/>
      </c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>
        <f>SUM(AF56,AH56,AJ56,AL56,AN56)</f>
        <v/>
      </c>
      <c r="AQ56" s="17">
        <f>SUM(AG56,AI56,AK56,AM56,AO56)</f>
        <v/>
      </c>
      <c r="AR56" s="17">
        <f>$J56*AP56</f>
        <v/>
      </c>
      <c r="AS56" s="17">
        <f>$J56*AQ56</f>
        <v/>
      </c>
      <c r="AT56" s="17">
        <f>AB56+AP56</f>
        <v/>
      </c>
      <c r="AU56" s="18">
        <f>AD56+AQ56</f>
        <v/>
      </c>
      <c r="AV56" s="17">
        <f>$J56*AT56</f>
        <v/>
      </c>
      <c r="AW56" s="18">
        <f>$J56*AU56</f>
        <v/>
      </c>
      <c r="AX56" s="21" t="inlineStr">
        <is>
          <t>No separately priced options for İR in the RFQ (gearmotor alternative not priced)</t>
        </is>
      </c>
      <c r="AY56" s="22" t="n"/>
    </row>
    <row r="57">
      <c r="A57" s="10" t="inlineStr">
        <is>
          <t>GB-053</t>
        </is>
      </c>
      <c r="B57" s="10" t="inlineStr">
        <is>
          <t>Helical Inline</t>
        </is>
      </c>
      <c r="C57" s="10" t="inlineStr">
        <is>
          <t>R / Equivalent</t>
        </is>
      </c>
      <c r="D57" s="10" t="inlineStr">
        <is>
          <t>Supplier selection</t>
        </is>
      </c>
      <c r="E57" s="10" t="n">
        <v>0.37</v>
      </c>
      <c r="F57" s="10" t="inlineStr">
        <is>
          <t>1:40</t>
        </is>
      </c>
      <c r="G57" s="10" t="inlineStr">
        <is>
          <t>B3 foot</t>
        </is>
      </c>
      <c r="H57" s="10" t="inlineStr">
        <is>
          <t>Solid output shaft</t>
        </is>
      </c>
      <c r="I57" s="10" t="inlineStr">
        <is>
          <t>IEC motor adaptor/input</t>
        </is>
      </c>
      <c r="J57" s="10" t="n">
        <v>1</v>
      </c>
      <c r="K57" s="11" t="inlineStr">
        <is>
          <t>İR (helical inline)</t>
        </is>
      </c>
      <c r="L57" s="12" t="inlineStr">
        <is>
          <t>İRAP 53  i=39.09  + IEC 71 B5 input (code 155)</t>
        </is>
      </c>
      <c r="M57" s="13" t="inlineStr">
        <is>
          <t>İRAM 53 / 71 M 4b</t>
        </is>
      </c>
      <c r="N57" s="11" t="n">
        <v>39.09</v>
      </c>
      <c r="O57" s="11" t="n">
        <v>35</v>
      </c>
      <c r="P57" s="11" t="n">
        <v>96</v>
      </c>
      <c r="Q57" s="13" t="inlineStr">
        <is>
          <t>Sf 2.07</t>
        </is>
      </c>
      <c r="R57" s="13" t="inlineStr">
        <is>
          <t>Gearmotor table, 4-pole motor, n1≈1400 rpm</t>
        </is>
      </c>
      <c r="S57" s="13" t="inlineStr">
        <is>
          <t>Solid output shaft (foot mounted)</t>
        </is>
      </c>
      <c r="T57" s="13" t="inlineStr">
        <is>
          <t>IEC 71 B5 (motor 71 M 4b)</t>
        </is>
      </c>
      <c r="U57" s="13" t="inlineStr">
        <is>
          <t>IEC B5 input flange 155 (or 156 PAM with coupling); İRAFM foot+flange version available</t>
        </is>
      </c>
      <c r="V57" s="13" t="inlineStr">
        <is>
          <t>IR 2024: ratings p.52; dims p.201-203</t>
        </is>
      </c>
      <c r="W57" s="13" t="inlineStr">
        <is>
          <t>Smallest housing with Sf ≥ 1.5 at 0.37 kW / 1400 rpm. Ratio deviation -2.3% vs 1:40. Quote both reducer-only and gearmotor lines (RFQ).</t>
        </is>
      </c>
      <c r="X57" s="14" t="inlineStr">
        <is>
          <t>IRAP 53 – IEC 71 B5 / B14</t>
        </is>
      </c>
      <c r="Y57" s="15" t="inlineStr">
        <is>
          <t>p.15 (IRP series, IEC B5/B14 flanged)</t>
        </is>
      </c>
      <c r="Z57" s="15" t="inlineStr">
        <is>
          <t>YES</t>
        </is>
      </c>
      <c r="AA57" s="15" t="inlineStr">
        <is>
          <t>Gear unit with IEC input flange, solid output shaft, foot mounted</t>
        </is>
      </c>
      <c r="AB57" s="16" t="n">
        <v>278</v>
      </c>
      <c r="AC57" s="17">
        <f>$J57*AB57</f>
        <v/>
      </c>
      <c r="AD57" s="18">
        <f>ROUND(AB57*(1-$L$2),2)</f>
        <v/>
      </c>
      <c r="AE57" s="18">
        <f>$J57*AD57</f>
        <v/>
      </c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>
        <f>SUM(AF57,AH57,AJ57,AL57,AN57)</f>
        <v/>
      </c>
      <c r="AQ57" s="17">
        <f>SUM(AG57,AI57,AK57,AM57,AO57)</f>
        <v/>
      </c>
      <c r="AR57" s="17">
        <f>$J57*AP57</f>
        <v/>
      </c>
      <c r="AS57" s="17">
        <f>$J57*AQ57</f>
        <v/>
      </c>
      <c r="AT57" s="17">
        <f>AB57+AP57</f>
        <v/>
      </c>
      <c r="AU57" s="18">
        <f>AD57+AQ57</f>
        <v/>
      </c>
      <c r="AV57" s="17">
        <f>$J57*AT57</f>
        <v/>
      </c>
      <c r="AW57" s="18">
        <f>$J57*AU57</f>
        <v/>
      </c>
      <c r="AX57" s="21" t="inlineStr">
        <is>
          <t>No separately priced options for İR in the RFQ (gearmotor alternative not priced)</t>
        </is>
      </c>
      <c r="AY57" s="22" t="n"/>
    </row>
    <row r="58">
      <c r="A58" s="10" t="inlineStr">
        <is>
          <t>GB-054</t>
        </is>
      </c>
      <c r="B58" s="10" t="inlineStr">
        <is>
          <t>Helical Inline</t>
        </is>
      </c>
      <c r="C58" s="10" t="inlineStr">
        <is>
          <t>R / Equivalent</t>
        </is>
      </c>
      <c r="D58" s="10" t="inlineStr">
        <is>
          <t>Supplier selection</t>
        </is>
      </c>
      <c r="E58" s="10" t="n">
        <v>0.55</v>
      </c>
      <c r="F58" s="10" t="inlineStr">
        <is>
          <t>1:10</t>
        </is>
      </c>
      <c r="G58" s="10" t="inlineStr">
        <is>
          <t>B3 foot</t>
        </is>
      </c>
      <c r="H58" s="10" t="inlineStr">
        <is>
          <t>Solid output shaft</t>
        </is>
      </c>
      <c r="I58" s="10" t="inlineStr">
        <is>
          <t>IEC motor adaptor/input</t>
        </is>
      </c>
      <c r="J58" s="10" t="n">
        <v>1</v>
      </c>
      <c r="K58" s="11" t="inlineStr">
        <is>
          <t>İR (helical inline)</t>
        </is>
      </c>
      <c r="L58" s="12" t="inlineStr">
        <is>
          <t>İRAP 52  i=9.47  + IEC 80 B5 input (code 155)</t>
        </is>
      </c>
      <c r="M58" s="13" t="inlineStr">
        <is>
          <t>İRAM 52 / 80 M 4a</t>
        </is>
      </c>
      <c r="N58" s="11" t="n">
        <v>9.470000000000001</v>
      </c>
      <c r="O58" s="11" t="n">
        <v>147</v>
      </c>
      <c r="P58" s="11" t="n">
        <v>35</v>
      </c>
      <c r="Q58" s="13" t="inlineStr">
        <is>
          <t>Sf 4.4</t>
        </is>
      </c>
      <c r="R58" s="13" t="inlineStr">
        <is>
          <t>Gearmotor table, 4-pole motor, n1≈1400 rpm</t>
        </is>
      </c>
      <c r="S58" s="13" t="inlineStr">
        <is>
          <t>Solid output shaft (foot mounted)</t>
        </is>
      </c>
      <c r="T58" s="13" t="inlineStr">
        <is>
          <t>IEC 80 B5 (motor 80 M 4a)</t>
        </is>
      </c>
      <c r="U58" s="13" t="inlineStr">
        <is>
          <t>IEC B5 input flange 155 (or 156 PAM with coupling); İRAFM foot+flange version available</t>
        </is>
      </c>
      <c r="V58" s="13" t="inlineStr">
        <is>
          <t>IR 2024: ratings p.57; dims p.201-203</t>
        </is>
      </c>
      <c r="W58" s="13" t="inlineStr">
        <is>
          <t>Smallest housing with Sf ≥ 1.5 at 0.55 kW / 1400 rpm. Ratio deviation -5.3% vs 1:10. Quote both reducer-only and gearmotor lines (RFQ).</t>
        </is>
      </c>
      <c r="X58" s="14" t="inlineStr">
        <is>
          <t>IRAP 52 – IEC 80 B5 / B14</t>
        </is>
      </c>
      <c r="Y58" s="15" t="inlineStr">
        <is>
          <t>p.15 (IRP series, IEC B5/B14 flanged)</t>
        </is>
      </c>
      <c r="Z58" s="15" t="inlineStr">
        <is>
          <t>YES</t>
        </is>
      </c>
      <c r="AA58" s="15" t="inlineStr">
        <is>
          <t>Gear unit with IEC input flange, solid output shaft, foot mounted</t>
        </is>
      </c>
      <c r="AB58" s="16" t="n">
        <v>277</v>
      </c>
      <c r="AC58" s="17">
        <f>$J58*AB58</f>
        <v/>
      </c>
      <c r="AD58" s="18">
        <f>ROUND(AB58*(1-$L$2),2)</f>
        <v/>
      </c>
      <c r="AE58" s="18">
        <f>$J58*AD58</f>
        <v/>
      </c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>
        <f>SUM(AF58,AH58,AJ58,AL58,AN58)</f>
        <v/>
      </c>
      <c r="AQ58" s="17">
        <f>SUM(AG58,AI58,AK58,AM58,AO58)</f>
        <v/>
      </c>
      <c r="AR58" s="17">
        <f>$J58*AP58</f>
        <v/>
      </c>
      <c r="AS58" s="17">
        <f>$J58*AQ58</f>
        <v/>
      </c>
      <c r="AT58" s="17">
        <f>AB58+AP58</f>
        <v/>
      </c>
      <c r="AU58" s="18">
        <f>AD58+AQ58</f>
        <v/>
      </c>
      <c r="AV58" s="17">
        <f>$J58*AT58</f>
        <v/>
      </c>
      <c r="AW58" s="18">
        <f>$J58*AU58</f>
        <v/>
      </c>
      <c r="AX58" s="21" t="inlineStr">
        <is>
          <t>No separately priced options for İR in the RFQ (gearmotor alternative not priced)</t>
        </is>
      </c>
      <c r="AY58" s="22" t="n"/>
    </row>
    <row r="59">
      <c r="A59" s="10" t="inlineStr">
        <is>
          <t>GB-055</t>
        </is>
      </c>
      <c r="B59" s="10" t="inlineStr">
        <is>
          <t>Helical Inline</t>
        </is>
      </c>
      <c r="C59" s="10" t="inlineStr">
        <is>
          <t>R / Equivalent</t>
        </is>
      </c>
      <c r="D59" s="10" t="inlineStr">
        <is>
          <t>Supplier selection</t>
        </is>
      </c>
      <c r="E59" s="10" t="n">
        <v>0.55</v>
      </c>
      <c r="F59" s="10" t="inlineStr">
        <is>
          <t>1:15</t>
        </is>
      </c>
      <c r="G59" s="10" t="inlineStr">
        <is>
          <t>B3 foot</t>
        </is>
      </c>
      <c r="H59" s="10" t="inlineStr">
        <is>
          <t>Solid output shaft</t>
        </is>
      </c>
      <c r="I59" s="10" t="inlineStr">
        <is>
          <t>IEC motor adaptor/input</t>
        </is>
      </c>
      <c r="J59" s="10" t="n">
        <v>1</v>
      </c>
      <c r="K59" s="11" t="inlineStr">
        <is>
          <t>İR (helical inline)</t>
        </is>
      </c>
      <c r="L59" s="12" t="inlineStr">
        <is>
          <t>İRAP 43  i=14.6  + IEC 80 B5 input (code 155)</t>
        </is>
      </c>
      <c r="M59" s="13" t="inlineStr">
        <is>
          <t>İRAM 43 / 80 M 4a</t>
        </is>
      </c>
      <c r="N59" s="11" t="n">
        <v>14.6</v>
      </c>
      <c r="O59" s="11" t="n">
        <v>95</v>
      </c>
      <c r="P59" s="11" t="n">
        <v>53</v>
      </c>
      <c r="Q59" s="13" t="inlineStr">
        <is>
          <t>Sf 1.54</t>
        </is>
      </c>
      <c r="R59" s="13" t="inlineStr">
        <is>
          <t>Gearmotor table, 4-pole motor, n1≈1400 rpm</t>
        </is>
      </c>
      <c r="S59" s="13" t="inlineStr">
        <is>
          <t>Solid output shaft (foot mounted)</t>
        </is>
      </c>
      <c r="T59" s="13" t="inlineStr">
        <is>
          <t>IEC 80 B5 (motor 80 M 4a)</t>
        </is>
      </c>
      <c r="U59" s="13" t="inlineStr">
        <is>
          <t>IEC B5 input flange 155 (or 156 PAM with coupling); İRAFM foot+flange version available</t>
        </is>
      </c>
      <c r="V59" s="13" t="inlineStr">
        <is>
          <t>IR 2024: ratings p.57; dims p.195-197</t>
        </is>
      </c>
      <c r="W59" s="13" t="inlineStr">
        <is>
          <t>Smallest housing with Sf ≥ 1.5 at 0.55 kW / 1400 rpm. Ratio deviation -2.7% vs 1:15. Larger alternatives: 52 (i=15.05, Sf=2.89). Quote both reducer-only and gearmotor lines (RFQ).</t>
        </is>
      </c>
      <c r="X59" s="14" t="inlineStr">
        <is>
          <t>IRAP 43 – IEC 80 B5 / B14</t>
        </is>
      </c>
      <c r="Y59" s="15" t="inlineStr">
        <is>
          <t>p.15 (IRP series, IEC B5/B14 flanged)</t>
        </is>
      </c>
      <c r="Z59" s="15" t="inlineStr">
        <is>
          <t>YES</t>
        </is>
      </c>
      <c r="AA59" s="15" t="inlineStr">
        <is>
          <t>Gear unit with IEC input flange, solid output shaft, foot mounted</t>
        </is>
      </c>
      <c r="AB59" s="16" t="n">
        <v>238</v>
      </c>
      <c r="AC59" s="17">
        <f>$J59*AB59</f>
        <v/>
      </c>
      <c r="AD59" s="18">
        <f>ROUND(AB59*(1-$L$2),2)</f>
        <v/>
      </c>
      <c r="AE59" s="18">
        <f>$J59*AD59</f>
        <v/>
      </c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>
        <f>SUM(AF59,AH59,AJ59,AL59,AN59)</f>
        <v/>
      </c>
      <c r="AQ59" s="17">
        <f>SUM(AG59,AI59,AK59,AM59,AO59)</f>
        <v/>
      </c>
      <c r="AR59" s="17">
        <f>$J59*AP59</f>
        <v/>
      </c>
      <c r="AS59" s="17">
        <f>$J59*AQ59</f>
        <v/>
      </c>
      <c r="AT59" s="17">
        <f>AB59+AP59</f>
        <v/>
      </c>
      <c r="AU59" s="18">
        <f>AD59+AQ59</f>
        <v/>
      </c>
      <c r="AV59" s="17">
        <f>$J59*AT59</f>
        <v/>
      </c>
      <c r="AW59" s="18">
        <f>$J59*AU59</f>
        <v/>
      </c>
      <c r="AX59" s="21" t="inlineStr">
        <is>
          <t>No separately priced options for İR in the RFQ (gearmotor alternative not priced)</t>
        </is>
      </c>
      <c r="AY59" s="22" t="n"/>
    </row>
    <row r="60">
      <c r="A60" s="10" t="inlineStr">
        <is>
          <t>GB-056</t>
        </is>
      </c>
      <c r="B60" s="10" t="inlineStr">
        <is>
          <t>Helical Inline</t>
        </is>
      </c>
      <c r="C60" s="10" t="inlineStr">
        <is>
          <t>R / Equivalent</t>
        </is>
      </c>
      <c r="D60" s="10" t="inlineStr">
        <is>
          <t>Supplier selection</t>
        </is>
      </c>
      <c r="E60" s="10" t="n">
        <v>0.55</v>
      </c>
      <c r="F60" s="10" t="inlineStr">
        <is>
          <t>1:20</t>
        </is>
      </c>
      <c r="G60" s="10" t="inlineStr">
        <is>
          <t>B3 foot</t>
        </is>
      </c>
      <c r="H60" s="10" t="inlineStr">
        <is>
          <t>Solid output shaft</t>
        </is>
      </c>
      <c r="I60" s="10" t="inlineStr">
        <is>
          <t>IEC motor adaptor/input</t>
        </is>
      </c>
      <c r="J60" s="10" t="n">
        <v>1</v>
      </c>
      <c r="K60" s="11" t="inlineStr">
        <is>
          <t>İR (helical inline)</t>
        </is>
      </c>
      <c r="L60" s="12" t="inlineStr">
        <is>
          <t>İRAP 53  i=21.88  + IEC 80 B5 input (code 155)</t>
        </is>
      </c>
      <c r="M60" s="13" t="inlineStr">
        <is>
          <t>İRAM 53 / 80 M 4a</t>
        </is>
      </c>
      <c r="N60" s="11" t="n">
        <v>21.88</v>
      </c>
      <c r="O60" s="11" t="n">
        <v>63</v>
      </c>
      <c r="P60" s="11" t="n">
        <v>80</v>
      </c>
      <c r="Q60" s="13" t="inlineStr">
        <is>
          <t>Sf 2.22</t>
        </is>
      </c>
      <c r="R60" s="13" t="inlineStr">
        <is>
          <t>Gearmotor table, 4-pole motor, n1≈1400 rpm</t>
        </is>
      </c>
      <c r="S60" s="13" t="inlineStr">
        <is>
          <t>Solid output shaft (foot mounted)</t>
        </is>
      </c>
      <c r="T60" s="13" t="inlineStr">
        <is>
          <t>IEC 80 B5 (motor 80 M 4a)</t>
        </is>
      </c>
      <c r="U60" s="13" t="inlineStr">
        <is>
          <t>IEC B5 input flange 155 (or 156 PAM with coupling); İRAFM foot+flange version available</t>
        </is>
      </c>
      <c r="V60" s="13" t="inlineStr">
        <is>
          <t>IR 2024: ratings p.57; dims p.201-203</t>
        </is>
      </c>
      <c r="W60" s="13" t="inlineStr">
        <is>
          <t>Smallest housing with Sf ≥ 1.5 at 0.55 kW / 1400 rpm. Ratio deviation +9.4% vs 1:20. Quote both reducer-only and gearmotor lines (RFQ).</t>
        </is>
      </c>
      <c r="X60" s="14" t="inlineStr">
        <is>
          <t>IRAP 53 – IEC 80 B5 / B14</t>
        </is>
      </c>
      <c r="Y60" s="15" t="inlineStr">
        <is>
          <t>p.15 (IRP series, IEC B5/B14 flanged)</t>
        </is>
      </c>
      <c r="Z60" s="15" t="inlineStr">
        <is>
          <t>YES</t>
        </is>
      </c>
      <c r="AA60" s="15" t="inlineStr">
        <is>
          <t>Gear unit with IEC input flange, solid output shaft, foot mounted</t>
        </is>
      </c>
      <c r="AB60" s="16" t="n">
        <v>288</v>
      </c>
      <c r="AC60" s="17">
        <f>$J60*AB60</f>
        <v/>
      </c>
      <c r="AD60" s="18">
        <f>ROUND(AB60*(1-$L$2),2)</f>
        <v/>
      </c>
      <c r="AE60" s="18">
        <f>$J60*AD60</f>
        <v/>
      </c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>
        <f>SUM(AF60,AH60,AJ60,AL60,AN60)</f>
        <v/>
      </c>
      <c r="AQ60" s="17">
        <f>SUM(AG60,AI60,AK60,AM60,AO60)</f>
        <v/>
      </c>
      <c r="AR60" s="17">
        <f>$J60*AP60</f>
        <v/>
      </c>
      <c r="AS60" s="17">
        <f>$J60*AQ60</f>
        <v/>
      </c>
      <c r="AT60" s="17">
        <f>AB60+AP60</f>
        <v/>
      </c>
      <c r="AU60" s="18">
        <f>AD60+AQ60</f>
        <v/>
      </c>
      <c r="AV60" s="17">
        <f>$J60*AT60</f>
        <v/>
      </c>
      <c r="AW60" s="18">
        <f>$J60*AU60</f>
        <v/>
      </c>
      <c r="AX60" s="21" t="inlineStr">
        <is>
          <t>No separately priced options for İR in the RFQ (gearmotor alternative not priced)</t>
        </is>
      </c>
      <c r="AY60" s="22" t="n"/>
    </row>
    <row r="61">
      <c r="A61" s="10" t="inlineStr">
        <is>
          <t>GB-057</t>
        </is>
      </c>
      <c r="B61" s="10" t="inlineStr">
        <is>
          <t>Helical Inline</t>
        </is>
      </c>
      <c r="C61" s="10" t="inlineStr">
        <is>
          <t>R / Equivalent</t>
        </is>
      </c>
      <c r="D61" s="10" t="inlineStr">
        <is>
          <t>Supplier selection</t>
        </is>
      </c>
      <c r="E61" s="10" t="n">
        <v>0.55</v>
      </c>
      <c r="F61" s="10" t="inlineStr">
        <is>
          <t>1:30</t>
        </is>
      </c>
      <c r="G61" s="10" t="inlineStr">
        <is>
          <t>B3 foot</t>
        </is>
      </c>
      <c r="H61" s="10" t="inlineStr">
        <is>
          <t>Solid output shaft</t>
        </is>
      </c>
      <c r="I61" s="10" t="inlineStr">
        <is>
          <t>IEC motor adaptor/input</t>
        </is>
      </c>
      <c r="J61" s="10" t="n">
        <v>1</v>
      </c>
      <c r="K61" s="11" t="inlineStr">
        <is>
          <t>İR (helical inline)</t>
        </is>
      </c>
      <c r="L61" s="12" t="inlineStr">
        <is>
          <t>İRAP 53  i=31.33  + IEC 80 B5 input (code 155)</t>
        </is>
      </c>
      <c r="M61" s="13" t="inlineStr">
        <is>
          <t>İRAM 53 / 80 M 4a</t>
        </is>
      </c>
      <c r="N61" s="11" t="n">
        <v>31.33</v>
      </c>
      <c r="O61" s="11" t="n">
        <v>44</v>
      </c>
      <c r="P61" s="11" t="n">
        <v>114</v>
      </c>
      <c r="Q61" s="13" t="inlineStr">
        <is>
          <t>Sf 1.68</t>
        </is>
      </c>
      <c r="R61" s="13" t="inlineStr">
        <is>
          <t>Gearmotor table, 4-pole motor, n1≈1400 rpm</t>
        </is>
      </c>
      <c r="S61" s="13" t="inlineStr">
        <is>
          <t>Solid output shaft (foot mounted)</t>
        </is>
      </c>
      <c r="T61" s="13" t="inlineStr">
        <is>
          <t>IEC 80 B5 (motor 80 M 4a)</t>
        </is>
      </c>
      <c r="U61" s="13" t="inlineStr">
        <is>
          <t>IEC B5 input flange 155 (or 156 PAM with coupling); İRAFM foot+flange version available</t>
        </is>
      </c>
      <c r="V61" s="13" t="inlineStr">
        <is>
          <t>IR 2024: ratings p.57; dims p.201-203</t>
        </is>
      </c>
      <c r="W61" s="13" t="inlineStr">
        <is>
          <t>Smallest housing with Sf ≥ 1.5 at 0.55 kW / 1400 rpm. Ratio deviation +4.4% vs 1:30. Quote both reducer-only and gearmotor lines (RFQ).</t>
        </is>
      </c>
      <c r="X61" s="14" t="inlineStr">
        <is>
          <t>IRAP 53 – IEC 80 B5 / B14</t>
        </is>
      </c>
      <c r="Y61" s="15" t="inlineStr">
        <is>
          <t>p.15 (IRP series, IEC B5/B14 flanged)</t>
        </is>
      </c>
      <c r="Z61" s="15" t="inlineStr">
        <is>
          <t>YES</t>
        </is>
      </c>
      <c r="AA61" s="15" t="inlineStr">
        <is>
          <t>Gear unit with IEC input flange, solid output shaft, foot mounted</t>
        </is>
      </c>
      <c r="AB61" s="16" t="n">
        <v>288</v>
      </c>
      <c r="AC61" s="17">
        <f>$J61*AB61</f>
        <v/>
      </c>
      <c r="AD61" s="18">
        <f>ROUND(AB61*(1-$L$2),2)</f>
        <v/>
      </c>
      <c r="AE61" s="18">
        <f>$J61*AD61</f>
        <v/>
      </c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>
        <f>SUM(AF61,AH61,AJ61,AL61,AN61)</f>
        <v/>
      </c>
      <c r="AQ61" s="17">
        <f>SUM(AG61,AI61,AK61,AM61,AO61)</f>
        <v/>
      </c>
      <c r="AR61" s="17">
        <f>$J61*AP61</f>
        <v/>
      </c>
      <c r="AS61" s="17">
        <f>$J61*AQ61</f>
        <v/>
      </c>
      <c r="AT61" s="17">
        <f>AB61+AP61</f>
        <v/>
      </c>
      <c r="AU61" s="18">
        <f>AD61+AQ61</f>
        <v/>
      </c>
      <c r="AV61" s="17">
        <f>$J61*AT61</f>
        <v/>
      </c>
      <c r="AW61" s="18">
        <f>$J61*AU61</f>
        <v/>
      </c>
      <c r="AX61" s="21" t="inlineStr">
        <is>
          <t>No separately priced options for İR in the RFQ (gearmotor alternative not priced)</t>
        </is>
      </c>
      <c r="AY61" s="22" t="n"/>
    </row>
    <row r="62">
      <c r="A62" s="10" t="inlineStr">
        <is>
          <t>GB-058</t>
        </is>
      </c>
      <c r="B62" s="10" t="inlineStr">
        <is>
          <t>Helical Inline</t>
        </is>
      </c>
      <c r="C62" s="10" t="inlineStr">
        <is>
          <t>R / Equivalent</t>
        </is>
      </c>
      <c r="D62" s="10" t="inlineStr">
        <is>
          <t>Supplier selection</t>
        </is>
      </c>
      <c r="E62" s="10" t="n">
        <v>0.75</v>
      </c>
      <c r="F62" s="10" t="inlineStr">
        <is>
          <t>1:10</t>
        </is>
      </c>
      <c r="G62" s="10" t="inlineStr">
        <is>
          <t>B3 foot</t>
        </is>
      </c>
      <c r="H62" s="10" t="inlineStr">
        <is>
          <t>Solid output shaft</t>
        </is>
      </c>
      <c r="I62" s="10" t="inlineStr">
        <is>
          <t>IEC motor adaptor/input</t>
        </is>
      </c>
      <c r="J62" s="10" t="n">
        <v>2</v>
      </c>
      <c r="K62" s="11" t="inlineStr">
        <is>
          <t>İR (helical inline)</t>
        </is>
      </c>
      <c r="L62" s="12" t="inlineStr">
        <is>
          <t>İRAP 52  i=9.47  + IEC 80 B5 input (code 155)</t>
        </is>
      </c>
      <c r="M62" s="13" t="inlineStr">
        <is>
          <t>İRAM 52 / 80 M 4b</t>
        </is>
      </c>
      <c r="N62" s="11" t="n">
        <v>9.470000000000001</v>
      </c>
      <c r="O62" s="11" t="n">
        <v>147</v>
      </c>
      <c r="P62" s="11" t="n">
        <v>47</v>
      </c>
      <c r="Q62" s="13" t="inlineStr">
        <is>
          <t>Sf 3.23</t>
        </is>
      </c>
      <c r="R62" s="13" t="inlineStr">
        <is>
          <t>Gearmotor table, 4-pole motor, n1≈1400 rpm</t>
        </is>
      </c>
      <c r="S62" s="13" t="inlineStr">
        <is>
          <t>Solid output shaft (foot mounted)</t>
        </is>
      </c>
      <c r="T62" s="13" t="inlineStr">
        <is>
          <t>IEC 80 B5 (motor 80 M 4b)</t>
        </is>
      </c>
      <c r="U62" s="13" t="inlineStr">
        <is>
          <t>IEC B5 input flange 155 (or 156 PAM with coupling); İRAFM foot+flange version available</t>
        </is>
      </c>
      <c r="V62" s="13" t="inlineStr">
        <is>
          <t>IR 2024: ratings p.62; dims p.201-203</t>
        </is>
      </c>
      <c r="W62" s="13" t="inlineStr">
        <is>
          <t>Smallest housing with Sf ≥ 1.5 at 0.75 kW / 1400 rpm. Ratio deviation -5.3% vs 1:10. Quote both reducer-only and gearmotor lines (RFQ).</t>
        </is>
      </c>
      <c r="X62" s="14" t="inlineStr">
        <is>
          <t>IRAP 52 – IEC 80 B5 / B14</t>
        </is>
      </c>
      <c r="Y62" s="15" t="inlineStr">
        <is>
          <t>p.15 (IRP series, IEC B5/B14 flanged)</t>
        </is>
      </c>
      <c r="Z62" s="15" t="inlineStr">
        <is>
          <t>YES</t>
        </is>
      </c>
      <c r="AA62" s="15" t="inlineStr">
        <is>
          <t>Gear unit with IEC input flange, solid output shaft, foot mounted</t>
        </is>
      </c>
      <c r="AB62" s="16" t="n">
        <v>277</v>
      </c>
      <c r="AC62" s="17">
        <f>$J62*AB62</f>
        <v/>
      </c>
      <c r="AD62" s="18">
        <f>ROUND(AB62*(1-$L$2),2)</f>
        <v/>
      </c>
      <c r="AE62" s="18">
        <f>$J62*AD62</f>
        <v/>
      </c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>
        <f>SUM(AF62,AH62,AJ62,AL62,AN62)</f>
        <v/>
      </c>
      <c r="AQ62" s="17">
        <f>SUM(AG62,AI62,AK62,AM62,AO62)</f>
        <v/>
      </c>
      <c r="AR62" s="17">
        <f>$J62*AP62</f>
        <v/>
      </c>
      <c r="AS62" s="17">
        <f>$J62*AQ62</f>
        <v/>
      </c>
      <c r="AT62" s="17">
        <f>AB62+AP62</f>
        <v/>
      </c>
      <c r="AU62" s="18">
        <f>AD62+AQ62</f>
        <v/>
      </c>
      <c r="AV62" s="17">
        <f>$J62*AT62</f>
        <v/>
      </c>
      <c r="AW62" s="18">
        <f>$J62*AU62</f>
        <v/>
      </c>
      <c r="AX62" s="21" t="inlineStr">
        <is>
          <t>No separately priced options for İR in the RFQ (gearmotor alternative not priced)</t>
        </is>
      </c>
      <c r="AY62" s="22" t="n"/>
    </row>
    <row r="63">
      <c r="A63" s="10" t="inlineStr">
        <is>
          <t>GB-059</t>
        </is>
      </c>
      <c r="B63" s="10" t="inlineStr">
        <is>
          <t>Helical Inline</t>
        </is>
      </c>
      <c r="C63" s="10" t="inlineStr">
        <is>
          <t>R / Equivalent</t>
        </is>
      </c>
      <c r="D63" s="10" t="inlineStr">
        <is>
          <t>Supplier selection</t>
        </is>
      </c>
      <c r="E63" s="10" t="n">
        <v>0.75</v>
      </c>
      <c r="F63" s="10" t="inlineStr">
        <is>
          <t>1:20</t>
        </is>
      </c>
      <c r="G63" s="10" t="inlineStr">
        <is>
          <t>B3 foot</t>
        </is>
      </c>
      <c r="H63" s="10" t="inlineStr">
        <is>
          <t>Solid output shaft</t>
        </is>
      </c>
      <c r="I63" s="10" t="inlineStr">
        <is>
          <t>IEC motor adaptor/input</t>
        </is>
      </c>
      <c r="J63" s="10" t="n">
        <v>2</v>
      </c>
      <c r="K63" s="11" t="inlineStr">
        <is>
          <t>İR (helical inline)</t>
        </is>
      </c>
      <c r="L63" s="12" t="inlineStr">
        <is>
          <t>İRAP 53  i=19.69  + IEC 80 B5 input (code 155)</t>
        </is>
      </c>
      <c r="M63" s="13" t="inlineStr">
        <is>
          <t>İRAM 53 / 80 M 4b</t>
        </is>
      </c>
      <c r="N63" s="11" t="n">
        <v>19.69</v>
      </c>
      <c r="O63" s="11" t="n">
        <v>71</v>
      </c>
      <c r="P63" s="11" t="n">
        <v>96</v>
      </c>
      <c r="Q63" s="13" t="inlineStr">
        <is>
          <t>Sf 1.81</t>
        </is>
      </c>
      <c r="R63" s="13" t="inlineStr">
        <is>
          <t>Gearmotor table, 4-pole motor, n1≈1400 rpm</t>
        </is>
      </c>
      <c r="S63" s="13" t="inlineStr">
        <is>
          <t>Solid output shaft (foot mounted)</t>
        </is>
      </c>
      <c r="T63" s="13" t="inlineStr">
        <is>
          <t>IEC 80 B5 (motor 80 M 4b)</t>
        </is>
      </c>
      <c r="U63" s="13" t="inlineStr">
        <is>
          <t>IEC B5 input flange 155 (or 156 PAM with coupling); İRAFM foot+flange version available</t>
        </is>
      </c>
      <c r="V63" s="13" t="inlineStr">
        <is>
          <t>IR 2024: ratings p.61; dims p.201-203</t>
        </is>
      </c>
      <c r="W63" s="13" t="inlineStr">
        <is>
          <t>Smallest housing with Sf ≥ 1.5 at 0.75 kW / 1400 rpm. Ratio deviation -1.5% vs 1:20. Quote both reducer-only and gearmotor lines (RFQ).</t>
        </is>
      </c>
      <c r="X63" s="14" t="inlineStr">
        <is>
          <t>IRAP 53 – IEC 80 B5 / B14</t>
        </is>
      </c>
      <c r="Y63" s="15" t="inlineStr">
        <is>
          <t>p.15 (IRP series, IEC B5/B14 flanged)</t>
        </is>
      </c>
      <c r="Z63" s="15" t="inlineStr">
        <is>
          <t>YES</t>
        </is>
      </c>
      <c r="AA63" s="15" t="inlineStr">
        <is>
          <t>Gear unit with IEC input flange, solid output shaft, foot mounted</t>
        </is>
      </c>
      <c r="AB63" s="16" t="n">
        <v>288</v>
      </c>
      <c r="AC63" s="17">
        <f>$J63*AB63</f>
        <v/>
      </c>
      <c r="AD63" s="18">
        <f>ROUND(AB63*(1-$L$2),2)</f>
        <v/>
      </c>
      <c r="AE63" s="18">
        <f>$J63*AD63</f>
        <v/>
      </c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>
        <f>SUM(AF63,AH63,AJ63,AL63,AN63)</f>
        <v/>
      </c>
      <c r="AQ63" s="17">
        <f>SUM(AG63,AI63,AK63,AM63,AO63)</f>
        <v/>
      </c>
      <c r="AR63" s="17">
        <f>$J63*AP63</f>
        <v/>
      </c>
      <c r="AS63" s="17">
        <f>$J63*AQ63</f>
        <v/>
      </c>
      <c r="AT63" s="17">
        <f>AB63+AP63</f>
        <v/>
      </c>
      <c r="AU63" s="18">
        <f>AD63+AQ63</f>
        <v/>
      </c>
      <c r="AV63" s="17">
        <f>$J63*AT63</f>
        <v/>
      </c>
      <c r="AW63" s="18">
        <f>$J63*AU63</f>
        <v/>
      </c>
      <c r="AX63" s="21" t="inlineStr">
        <is>
          <t>No separately priced options for İR in the RFQ (gearmotor alternative not priced)</t>
        </is>
      </c>
      <c r="AY63" s="22" t="n"/>
    </row>
    <row r="64">
      <c r="A64" s="10" t="inlineStr">
        <is>
          <t>GB-060</t>
        </is>
      </c>
      <c r="B64" s="10" t="inlineStr">
        <is>
          <t>Helical Inline</t>
        </is>
      </c>
      <c r="C64" s="10" t="inlineStr">
        <is>
          <t>R / Equivalent</t>
        </is>
      </c>
      <c r="D64" s="10" t="inlineStr">
        <is>
          <t>Supplier selection</t>
        </is>
      </c>
      <c r="E64" s="10" t="n">
        <v>0.75</v>
      </c>
      <c r="F64" s="10" t="inlineStr">
        <is>
          <t>1:30</t>
        </is>
      </c>
      <c r="G64" s="10" t="inlineStr">
        <is>
          <t>B3 foot</t>
        </is>
      </c>
      <c r="H64" s="10" t="inlineStr">
        <is>
          <t>Solid output shaft</t>
        </is>
      </c>
      <c r="I64" s="10" t="inlineStr">
        <is>
          <t>IEC motor adaptor/input</t>
        </is>
      </c>
      <c r="J64" s="10" t="n">
        <v>1</v>
      </c>
      <c r="K64" s="11" t="inlineStr">
        <is>
          <t>İR (helical inline)</t>
        </is>
      </c>
      <c r="L64" s="12" t="inlineStr">
        <is>
          <t>İRAP 63  i=29.85  + IEC 80 B5 input (code 155)</t>
        </is>
      </c>
      <c r="M64" s="13" t="inlineStr">
        <is>
          <t>İRAM 63 / 80 M 4b</t>
        </is>
      </c>
      <c r="N64" s="11" t="n">
        <v>29.85</v>
      </c>
      <c r="O64" s="11" t="n">
        <v>46</v>
      </c>
      <c r="P64" s="11" t="n">
        <v>149</v>
      </c>
      <c r="Q64" s="13" t="inlineStr">
        <is>
          <t>Sf 3.22</t>
        </is>
      </c>
      <c r="R64" s="13" t="inlineStr">
        <is>
          <t>Gearmotor table, 4-pole motor, n1≈1400 rpm</t>
        </is>
      </c>
      <c r="S64" s="13" t="inlineStr">
        <is>
          <t>Solid output shaft (foot mounted)</t>
        </is>
      </c>
      <c r="T64" s="13" t="inlineStr">
        <is>
          <t>IEC 80 B5 (motor 80 M 4b)</t>
        </is>
      </c>
      <c r="U64" s="13" t="inlineStr">
        <is>
          <t>IEC B5 input flange 155 (or 156 PAM with coupling); İRAFM foot+flange version available</t>
        </is>
      </c>
      <c r="V64" s="13" t="inlineStr">
        <is>
          <t>IR 2024: ratings p.61; dims p.231-234</t>
        </is>
      </c>
      <c r="W64" s="13" t="inlineStr">
        <is>
          <t>Smallest housing with Sf ≥ 1.5 at 0.75 kW / 1400 rpm. Ratio deviation -0.5% vs 1:30. Quote both reducer-only and gearmotor lines (RFQ).</t>
        </is>
      </c>
      <c r="X64" s="14" t="inlineStr">
        <is>
          <t>IRAP 63 – IEC 80 B5 / B14</t>
        </is>
      </c>
      <c r="Y64" s="15" t="inlineStr">
        <is>
          <t>p.15 (IRP series, IEC B5/B14 flanged)</t>
        </is>
      </c>
      <c r="Z64" s="15" t="inlineStr">
        <is>
          <t>YES</t>
        </is>
      </c>
      <c r="AA64" s="15" t="inlineStr">
        <is>
          <t>Gear unit with IEC input flange, solid output shaft, foot mounted</t>
        </is>
      </c>
      <c r="AB64" s="16" t="n">
        <v>422</v>
      </c>
      <c r="AC64" s="17">
        <f>$J64*AB64</f>
        <v/>
      </c>
      <c r="AD64" s="18">
        <f>ROUND(AB64*(1-$L$2),2)</f>
        <v/>
      </c>
      <c r="AE64" s="18">
        <f>$J64*AD64</f>
        <v/>
      </c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>
        <f>SUM(AF64,AH64,AJ64,AL64,AN64)</f>
        <v/>
      </c>
      <c r="AQ64" s="17">
        <f>SUM(AG64,AI64,AK64,AM64,AO64)</f>
        <v/>
      </c>
      <c r="AR64" s="17">
        <f>$J64*AP64</f>
        <v/>
      </c>
      <c r="AS64" s="17">
        <f>$J64*AQ64</f>
        <v/>
      </c>
      <c r="AT64" s="17">
        <f>AB64+AP64</f>
        <v/>
      </c>
      <c r="AU64" s="18">
        <f>AD64+AQ64</f>
        <v/>
      </c>
      <c r="AV64" s="17">
        <f>$J64*AT64</f>
        <v/>
      </c>
      <c r="AW64" s="18">
        <f>$J64*AU64</f>
        <v/>
      </c>
      <c r="AX64" s="21" t="inlineStr">
        <is>
          <t>No separately priced options for İR in the RFQ (gearmotor alternative not priced)</t>
        </is>
      </c>
      <c r="AY64" s="22" t="n"/>
    </row>
    <row r="65">
      <c r="A65" s="10" t="inlineStr">
        <is>
          <t>GB-061</t>
        </is>
      </c>
      <c r="B65" s="10" t="inlineStr">
        <is>
          <t>Helical Inline</t>
        </is>
      </c>
      <c r="C65" s="10" t="inlineStr">
        <is>
          <t>R / Equivalent</t>
        </is>
      </c>
      <c r="D65" s="10" t="inlineStr">
        <is>
          <t>Supplier selection</t>
        </is>
      </c>
      <c r="E65" s="10" t="n">
        <v>0.75</v>
      </c>
      <c r="F65" s="10" t="inlineStr">
        <is>
          <t>1:40</t>
        </is>
      </c>
      <c r="G65" s="10" t="inlineStr">
        <is>
          <t>B3 foot</t>
        </is>
      </c>
      <c r="H65" s="10" t="inlineStr">
        <is>
          <t>Solid output shaft</t>
        </is>
      </c>
      <c r="I65" s="10" t="inlineStr">
        <is>
          <t>IEC motor adaptor/input</t>
        </is>
      </c>
      <c r="J65" s="10" t="n">
        <v>1</v>
      </c>
      <c r="K65" s="11" t="inlineStr">
        <is>
          <t>İR (helical inline)</t>
        </is>
      </c>
      <c r="L65" s="12" t="inlineStr">
        <is>
          <t>İRAP 731  i=39.88  + IEC 80 B5 input (code 155)</t>
        </is>
      </c>
      <c r="M65" s="13" t="inlineStr">
        <is>
          <t>İRAM 731 / 80 M 4b</t>
        </is>
      </c>
      <c r="N65" s="11" t="n">
        <v>39.88</v>
      </c>
      <c r="O65" s="11" t="n">
        <v>35</v>
      </c>
      <c r="P65" s="11" t="n">
        <v>196</v>
      </c>
      <c r="Q65" s="13" t="inlineStr">
        <is>
          <t>Sf 3.22</t>
        </is>
      </c>
      <c r="R65" s="13" t="inlineStr">
        <is>
          <t>Gearmotor table, 4-pole motor, n1≈1400 rpm</t>
        </is>
      </c>
      <c r="S65" s="13" t="inlineStr">
        <is>
          <t>Solid output shaft (foot mounted)</t>
        </is>
      </c>
      <c r="T65" s="13" t="inlineStr">
        <is>
          <t>IEC 80 B5 (motor 80 M 4b)</t>
        </is>
      </c>
      <c r="U65" s="13" t="inlineStr">
        <is>
          <t>IEC B5 input flange 155 (or 156 PAM with coupling); İRAFM foot+flange version available</t>
        </is>
      </c>
      <c r="V65" s="13" t="inlineStr">
        <is>
          <t>IR 2024: ratings p.61; dims p.251-254</t>
        </is>
      </c>
      <c r="W65" s="13" t="inlineStr">
        <is>
          <t>Smallest housing with Sf ≥ 1.5 at 0.75 kW / 1400 rpm. Ratio deviation -0.3% vs 1:40. Quote both reducer-only and gearmotor lines (RFQ).</t>
        </is>
      </c>
      <c r="X65" s="14" t="inlineStr">
        <is>
          <t>IRAP 731 – IEC 80 B5</t>
        </is>
      </c>
      <c r="Y65" s="15" t="inlineStr">
        <is>
          <t>p.16 (IRP series, IEC B5/B14 flanged)</t>
        </is>
      </c>
      <c r="Z65" s="15" t="inlineStr">
        <is>
          <t>YES</t>
        </is>
      </c>
      <c r="AA65" s="15" t="inlineStr">
        <is>
          <t>Gear unit with IEC input flange, solid output shaft, foot mounted</t>
        </is>
      </c>
      <c r="AB65" s="16" t="n">
        <v>571</v>
      </c>
      <c r="AC65" s="17">
        <f>$J65*AB65</f>
        <v/>
      </c>
      <c r="AD65" s="18">
        <f>ROUND(AB65*(1-$L$2),2)</f>
        <v/>
      </c>
      <c r="AE65" s="18">
        <f>$J65*AD65</f>
        <v/>
      </c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>
        <f>SUM(AF65,AH65,AJ65,AL65,AN65)</f>
        <v/>
      </c>
      <c r="AQ65" s="17">
        <f>SUM(AG65,AI65,AK65,AM65,AO65)</f>
        <v/>
      </c>
      <c r="AR65" s="17">
        <f>$J65*AP65</f>
        <v/>
      </c>
      <c r="AS65" s="17">
        <f>$J65*AQ65</f>
        <v/>
      </c>
      <c r="AT65" s="17">
        <f>AB65+AP65</f>
        <v/>
      </c>
      <c r="AU65" s="18">
        <f>AD65+AQ65</f>
        <v/>
      </c>
      <c r="AV65" s="17">
        <f>$J65*AT65</f>
        <v/>
      </c>
      <c r="AW65" s="18">
        <f>$J65*AU65</f>
        <v/>
      </c>
      <c r="AX65" s="21" t="inlineStr">
        <is>
          <t>No separately priced options for İR in the RFQ (gearmotor alternative not priced)</t>
        </is>
      </c>
      <c r="AY65" s="22" t="n"/>
    </row>
    <row r="66">
      <c r="A66" s="10" t="inlineStr">
        <is>
          <t>GB-062</t>
        </is>
      </c>
      <c r="B66" s="10" t="inlineStr">
        <is>
          <t>Helical Inline</t>
        </is>
      </c>
      <c r="C66" s="10" t="inlineStr">
        <is>
          <t>R / Equivalent</t>
        </is>
      </c>
      <c r="D66" s="10" t="inlineStr">
        <is>
          <t>Supplier selection</t>
        </is>
      </c>
      <c r="E66" s="10" t="n">
        <v>1.1</v>
      </c>
      <c r="F66" s="10" t="inlineStr">
        <is>
          <t>1:10</t>
        </is>
      </c>
      <c r="G66" s="10" t="inlineStr">
        <is>
          <t>B3 foot</t>
        </is>
      </c>
      <c r="H66" s="10" t="inlineStr">
        <is>
          <t>Solid output shaft</t>
        </is>
      </c>
      <c r="I66" s="10" t="inlineStr">
        <is>
          <t>IEC motor adaptor/input</t>
        </is>
      </c>
      <c r="J66" s="10" t="n">
        <v>1</v>
      </c>
      <c r="K66" s="11" t="inlineStr">
        <is>
          <t>İR (helical inline)</t>
        </is>
      </c>
      <c r="L66" s="12" t="inlineStr">
        <is>
          <t>İRAP 52  i=9.47  + IEC 90 B5 input (code 155)</t>
        </is>
      </c>
      <c r="M66" s="13" t="inlineStr">
        <is>
          <t>İRAM 52 / 90 S 4a</t>
        </is>
      </c>
      <c r="N66" s="11" t="n">
        <v>9.470000000000001</v>
      </c>
      <c r="O66" s="11" t="n">
        <v>147</v>
      </c>
      <c r="P66" s="11" t="n">
        <v>69</v>
      </c>
      <c r="Q66" s="13" t="inlineStr">
        <is>
          <t>Sf 2.2</t>
        </is>
      </c>
      <c r="R66" s="13" t="inlineStr">
        <is>
          <t>Gearmotor table, 4-pole motor, n1≈1400 rpm</t>
        </is>
      </c>
      <c r="S66" s="13" t="inlineStr">
        <is>
          <t>Solid output shaft (foot mounted)</t>
        </is>
      </c>
      <c r="T66" s="13" t="inlineStr">
        <is>
          <t>IEC 90 B5 (motor 90 S 4a)</t>
        </is>
      </c>
      <c r="U66" s="13" t="inlineStr">
        <is>
          <t>IEC B5 input flange 155 (or 156 PAM with coupling); İRAFM foot+flange version available</t>
        </is>
      </c>
      <c r="V66" s="13" t="inlineStr">
        <is>
          <t>IR 2024: ratings p.66; dims p.201-203</t>
        </is>
      </c>
      <c r="W66" s="13" t="inlineStr">
        <is>
          <t>Smallest housing with Sf ≥ 1.5 at 1.1 kW / 1400 rpm. Ratio deviation -5.3% vs 1:10. Quote both reducer-only and gearmotor lines (RFQ).</t>
        </is>
      </c>
      <c r="X66" s="14" t="inlineStr">
        <is>
          <t>IRAP 52 – IEC 90 B5 / B14</t>
        </is>
      </c>
      <c r="Y66" s="15" t="inlineStr">
        <is>
          <t>p.15 (IRP series, IEC B5/B14 flanged)</t>
        </is>
      </c>
      <c r="Z66" s="15" t="inlineStr">
        <is>
          <t>YES</t>
        </is>
      </c>
      <c r="AA66" s="15" t="inlineStr">
        <is>
          <t>Gear unit with IEC input flange, solid output shaft, foot mounted</t>
        </is>
      </c>
      <c r="AB66" s="16" t="n">
        <v>277</v>
      </c>
      <c r="AC66" s="17">
        <f>$J66*AB66</f>
        <v/>
      </c>
      <c r="AD66" s="18">
        <f>ROUND(AB66*(1-$L$2),2)</f>
        <v/>
      </c>
      <c r="AE66" s="18">
        <f>$J66*AD66</f>
        <v/>
      </c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>
        <f>SUM(AF66,AH66,AJ66,AL66,AN66)</f>
        <v/>
      </c>
      <c r="AQ66" s="17">
        <f>SUM(AG66,AI66,AK66,AM66,AO66)</f>
        <v/>
      </c>
      <c r="AR66" s="17">
        <f>$J66*AP66</f>
        <v/>
      </c>
      <c r="AS66" s="17">
        <f>$J66*AQ66</f>
        <v/>
      </c>
      <c r="AT66" s="17">
        <f>AB66+AP66</f>
        <v/>
      </c>
      <c r="AU66" s="18">
        <f>AD66+AQ66</f>
        <v/>
      </c>
      <c r="AV66" s="17">
        <f>$J66*AT66</f>
        <v/>
      </c>
      <c r="AW66" s="18">
        <f>$J66*AU66</f>
        <v/>
      </c>
      <c r="AX66" s="21" t="inlineStr">
        <is>
          <t>No separately priced options for İR in the RFQ (gearmotor alternative not priced)</t>
        </is>
      </c>
      <c r="AY66" s="22" t="n"/>
    </row>
    <row r="67">
      <c r="A67" s="10" t="inlineStr">
        <is>
          <t>GB-063</t>
        </is>
      </c>
      <c r="B67" s="10" t="inlineStr">
        <is>
          <t>Helical Inline</t>
        </is>
      </c>
      <c r="C67" s="10" t="inlineStr">
        <is>
          <t>R / Equivalent</t>
        </is>
      </c>
      <c r="D67" s="10" t="inlineStr">
        <is>
          <t>Supplier selection</t>
        </is>
      </c>
      <c r="E67" s="10" t="n">
        <v>1.1</v>
      </c>
      <c r="F67" s="10" t="inlineStr">
        <is>
          <t>1:15</t>
        </is>
      </c>
      <c r="G67" s="10" t="inlineStr">
        <is>
          <t>B3 foot</t>
        </is>
      </c>
      <c r="H67" s="10" t="inlineStr">
        <is>
          <t>Solid output shaft</t>
        </is>
      </c>
      <c r="I67" s="10" t="inlineStr">
        <is>
          <t>IEC motor adaptor/input</t>
        </is>
      </c>
      <c r="J67" s="10" t="n">
        <v>1</v>
      </c>
      <c r="K67" s="11" t="inlineStr">
        <is>
          <t>İR (helical inline)</t>
        </is>
      </c>
      <c r="L67" s="12" t="inlineStr">
        <is>
          <t>İRAP 62  i=15.13  + IEC 90 B5 input (code 155)</t>
        </is>
      </c>
      <c r="M67" s="13" t="inlineStr">
        <is>
          <t>İRAM 62 / 90 S 4a</t>
        </is>
      </c>
      <c r="N67" s="11" t="n">
        <v>15.13</v>
      </c>
      <c r="O67" s="11" t="n">
        <v>92</v>
      </c>
      <c r="P67" s="11" t="n">
        <v>111</v>
      </c>
      <c r="Q67" s="13" t="inlineStr">
        <is>
          <t>Sf 3.75</t>
        </is>
      </c>
      <c r="R67" s="13" t="inlineStr">
        <is>
          <t>Gearmotor table, 4-pole motor, n1≈1400 rpm</t>
        </is>
      </c>
      <c r="S67" s="13" t="inlineStr">
        <is>
          <t>Solid output shaft (foot mounted)</t>
        </is>
      </c>
      <c r="T67" s="13" t="inlineStr">
        <is>
          <t>IEC 90 B5 (motor 90 S 4a)</t>
        </is>
      </c>
      <c r="U67" s="13" t="inlineStr">
        <is>
          <t>IEC B5 input flange 155 (or 156 PAM with coupling); İRAFM foot+flange version available</t>
        </is>
      </c>
      <c r="V67" s="13" t="inlineStr">
        <is>
          <t>IR 2024: ratings p.66; dims p.231-234</t>
        </is>
      </c>
      <c r="W67" s="13" t="inlineStr">
        <is>
          <t>Smallest housing with Sf ≥ 1.5 at 1.1 kW / 1400 rpm. Ratio deviation +0.9% vs 1:15. Quote both reducer-only and gearmotor lines (RFQ).</t>
        </is>
      </c>
      <c r="X67" s="14" t="inlineStr">
        <is>
          <t>IRAP 62 – IEC 90 B5 / B14</t>
        </is>
      </c>
      <c r="Y67" s="15" t="inlineStr">
        <is>
          <t>p.15 (IRP series, IEC B5/B14 flanged)</t>
        </is>
      </c>
      <c r="Z67" s="15" t="inlineStr">
        <is>
          <t>YES</t>
        </is>
      </c>
      <c r="AA67" s="15" t="inlineStr">
        <is>
          <t>Gear unit with IEC input flange, solid output shaft, foot mounted</t>
        </is>
      </c>
      <c r="AB67" s="16" t="n">
        <v>409</v>
      </c>
      <c r="AC67" s="17">
        <f>$J67*AB67</f>
        <v/>
      </c>
      <c r="AD67" s="18">
        <f>ROUND(AB67*(1-$L$2),2)</f>
        <v/>
      </c>
      <c r="AE67" s="18">
        <f>$J67*AD67</f>
        <v/>
      </c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>
        <f>SUM(AF67,AH67,AJ67,AL67,AN67)</f>
        <v/>
      </c>
      <c r="AQ67" s="17">
        <f>SUM(AG67,AI67,AK67,AM67,AO67)</f>
        <v/>
      </c>
      <c r="AR67" s="17">
        <f>$J67*AP67</f>
        <v/>
      </c>
      <c r="AS67" s="17">
        <f>$J67*AQ67</f>
        <v/>
      </c>
      <c r="AT67" s="17">
        <f>AB67+AP67</f>
        <v/>
      </c>
      <c r="AU67" s="18">
        <f>AD67+AQ67</f>
        <v/>
      </c>
      <c r="AV67" s="17">
        <f>$J67*AT67</f>
        <v/>
      </c>
      <c r="AW67" s="18">
        <f>$J67*AU67</f>
        <v/>
      </c>
      <c r="AX67" s="21" t="inlineStr">
        <is>
          <t>No separately priced options for İR in the RFQ (gearmotor alternative not priced)</t>
        </is>
      </c>
      <c r="AY67" s="22" t="n"/>
    </row>
    <row r="68">
      <c r="A68" s="10" t="inlineStr">
        <is>
          <t>GB-064</t>
        </is>
      </c>
      <c r="B68" s="10" t="inlineStr">
        <is>
          <t>Helical Inline</t>
        </is>
      </c>
      <c r="C68" s="10" t="inlineStr">
        <is>
          <t>R / Equivalent</t>
        </is>
      </c>
      <c r="D68" s="10" t="inlineStr">
        <is>
          <t>Supplier selection</t>
        </is>
      </c>
      <c r="E68" s="10" t="n">
        <v>1.1</v>
      </c>
      <c r="F68" s="10" t="inlineStr">
        <is>
          <t>1:20</t>
        </is>
      </c>
      <c r="G68" s="10" t="inlineStr">
        <is>
          <t>B3 foot</t>
        </is>
      </c>
      <c r="H68" s="10" t="inlineStr">
        <is>
          <t>Solid output shaft</t>
        </is>
      </c>
      <c r="I68" s="10" t="inlineStr">
        <is>
          <t>IEC motor adaptor/input</t>
        </is>
      </c>
      <c r="J68" s="10" t="n">
        <v>1</v>
      </c>
      <c r="K68" s="11" t="inlineStr">
        <is>
          <t>İR (helical inline)</t>
        </is>
      </c>
      <c r="L68" s="12" t="inlineStr">
        <is>
          <t>İRAP 63  i=20.53  + IEC 90 B5 input (code 155)</t>
        </is>
      </c>
      <c r="M68" s="13" t="inlineStr">
        <is>
          <t>İRAM 63 / 90 S 4a</t>
        </is>
      </c>
      <c r="N68" s="11" t="n">
        <v>20.53</v>
      </c>
      <c r="O68" s="11" t="n">
        <v>68</v>
      </c>
      <c r="P68" s="11" t="n">
        <v>148</v>
      </c>
      <c r="Q68" s="13" t="inlineStr">
        <is>
          <t>Sf 3.2</t>
        </is>
      </c>
      <c r="R68" s="13" t="inlineStr">
        <is>
          <t>Gearmotor table, 4-pole motor, n1≈1400 rpm</t>
        </is>
      </c>
      <c r="S68" s="13" t="inlineStr">
        <is>
          <t>Solid output shaft (foot mounted)</t>
        </is>
      </c>
      <c r="T68" s="13" t="inlineStr">
        <is>
          <t>IEC 90 B5 (motor 90 S 4a)</t>
        </is>
      </c>
      <c r="U68" s="13" t="inlineStr">
        <is>
          <t>IEC B5 input flange 155 (or 156 PAM with coupling); İRAFM foot+flange version available</t>
        </is>
      </c>
      <c r="V68" s="13" t="inlineStr">
        <is>
          <t>IR 2024: ratings p.66; dims p.231-234</t>
        </is>
      </c>
      <c r="W68" s="13" t="inlineStr">
        <is>
          <t>Smallest housing with Sf ≥ 1.5 at 1.1 kW / 1400 rpm. Ratio deviation +2.7% vs 1:20. Quote both reducer-only and gearmotor lines (RFQ).</t>
        </is>
      </c>
      <c r="X68" s="14" t="inlineStr">
        <is>
          <t>IRAP 63 – IEC 90 B5 / B14</t>
        </is>
      </c>
      <c r="Y68" s="15" t="inlineStr">
        <is>
          <t>p.15 (IRP series, IEC B5/B14 flanged)</t>
        </is>
      </c>
      <c r="Z68" s="15" t="inlineStr">
        <is>
          <t>YES</t>
        </is>
      </c>
      <c r="AA68" s="15" t="inlineStr">
        <is>
          <t>Gear unit with IEC input flange, solid output shaft, foot mounted</t>
        </is>
      </c>
      <c r="AB68" s="16" t="n">
        <v>422</v>
      </c>
      <c r="AC68" s="17">
        <f>$J68*AB68</f>
        <v/>
      </c>
      <c r="AD68" s="18">
        <f>ROUND(AB68*(1-$L$2),2)</f>
        <v/>
      </c>
      <c r="AE68" s="18">
        <f>$J68*AD68</f>
        <v/>
      </c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>
        <f>SUM(AF68,AH68,AJ68,AL68,AN68)</f>
        <v/>
      </c>
      <c r="AQ68" s="17">
        <f>SUM(AG68,AI68,AK68,AM68,AO68)</f>
        <v/>
      </c>
      <c r="AR68" s="17">
        <f>$J68*AP68</f>
        <v/>
      </c>
      <c r="AS68" s="17">
        <f>$J68*AQ68</f>
        <v/>
      </c>
      <c r="AT68" s="17">
        <f>AB68+AP68</f>
        <v/>
      </c>
      <c r="AU68" s="18">
        <f>AD68+AQ68</f>
        <v/>
      </c>
      <c r="AV68" s="17">
        <f>$J68*AT68</f>
        <v/>
      </c>
      <c r="AW68" s="18">
        <f>$J68*AU68</f>
        <v/>
      </c>
      <c r="AX68" s="21" t="inlineStr">
        <is>
          <t>No separately priced options for İR in the RFQ (gearmotor alternative not priced)</t>
        </is>
      </c>
      <c r="AY68" s="22" t="n"/>
    </row>
    <row r="69">
      <c r="A69" s="10" t="inlineStr">
        <is>
          <t>GB-065</t>
        </is>
      </c>
      <c r="B69" s="10" t="inlineStr">
        <is>
          <t>Helical Inline</t>
        </is>
      </c>
      <c r="C69" s="10" t="inlineStr">
        <is>
          <t>R / Equivalent</t>
        </is>
      </c>
      <c r="D69" s="10" t="inlineStr">
        <is>
          <t>Supplier selection</t>
        </is>
      </c>
      <c r="E69" s="10" t="n">
        <v>1.1</v>
      </c>
      <c r="F69" s="10" t="inlineStr">
        <is>
          <t>1:30</t>
        </is>
      </c>
      <c r="G69" s="10" t="inlineStr">
        <is>
          <t>B3 foot</t>
        </is>
      </c>
      <c r="H69" s="10" t="inlineStr">
        <is>
          <t>Solid output shaft</t>
        </is>
      </c>
      <c r="I69" s="10" t="inlineStr">
        <is>
          <t>IEC motor adaptor/input</t>
        </is>
      </c>
      <c r="J69" s="10" t="n">
        <v>1</v>
      </c>
      <c r="K69" s="11" t="inlineStr">
        <is>
          <t>İR (helical inline)</t>
        </is>
      </c>
      <c r="L69" s="12" t="inlineStr">
        <is>
          <t>İRAP 63  i=29.85  + IEC 90 B5 input (code 155)</t>
        </is>
      </c>
      <c r="M69" s="13" t="inlineStr">
        <is>
          <t>İRAM 63 / 90 S 4a</t>
        </is>
      </c>
      <c r="N69" s="11" t="n">
        <v>29.85</v>
      </c>
      <c r="O69" s="11" t="n">
        <v>46</v>
      </c>
      <c r="P69" s="11" t="n">
        <v>218</v>
      </c>
      <c r="Q69" s="13" t="inlineStr">
        <is>
          <t>Sf 2.19</t>
        </is>
      </c>
      <c r="R69" s="13" t="inlineStr">
        <is>
          <t>Gearmotor table, 4-pole motor, n1≈1400 rpm</t>
        </is>
      </c>
      <c r="S69" s="13" t="inlineStr">
        <is>
          <t>Solid output shaft (foot mounted)</t>
        </is>
      </c>
      <c r="T69" s="13" t="inlineStr">
        <is>
          <t>IEC 90 B5 (motor 90 S 4a)</t>
        </is>
      </c>
      <c r="U69" s="13" t="inlineStr">
        <is>
          <t>IEC B5 input flange 155 (or 156 PAM with coupling); İRAFM foot+flange version available</t>
        </is>
      </c>
      <c r="V69" s="13" t="inlineStr">
        <is>
          <t>IR 2024: ratings p.66; dims p.231-234</t>
        </is>
      </c>
      <c r="W69" s="13" t="inlineStr">
        <is>
          <t>Smallest housing with Sf ≥ 1.5 at 1.1 kW / 1400 rpm. Ratio deviation -0.5% vs 1:30. Larger alternatives: 73 (i=31.16, Sf=3.5); 731 (i=31.3, Sf=2.6). Quote both reducer-only and gearmotor lines (RFQ).</t>
        </is>
      </c>
      <c r="X69" s="14" t="inlineStr">
        <is>
          <t>IRAP 63 – IEC 90 B5 / B14</t>
        </is>
      </c>
      <c r="Y69" s="15" t="inlineStr">
        <is>
          <t>p.15 (IRP series, IEC B5/B14 flanged)</t>
        </is>
      </c>
      <c r="Z69" s="15" t="inlineStr">
        <is>
          <t>YES</t>
        </is>
      </c>
      <c r="AA69" s="15" t="inlineStr">
        <is>
          <t>Gear unit with IEC input flange, solid output shaft, foot mounted</t>
        </is>
      </c>
      <c r="AB69" s="16" t="n">
        <v>422</v>
      </c>
      <c r="AC69" s="17">
        <f>$J69*AB69</f>
        <v/>
      </c>
      <c r="AD69" s="18">
        <f>ROUND(AB69*(1-$L$2),2)</f>
        <v/>
      </c>
      <c r="AE69" s="18">
        <f>$J69*AD69</f>
        <v/>
      </c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>
        <f>SUM(AF69,AH69,AJ69,AL69,AN69)</f>
        <v/>
      </c>
      <c r="AQ69" s="17">
        <f>SUM(AG69,AI69,AK69,AM69,AO69)</f>
        <v/>
      </c>
      <c r="AR69" s="17">
        <f>$J69*AP69</f>
        <v/>
      </c>
      <c r="AS69" s="17">
        <f>$J69*AQ69</f>
        <v/>
      </c>
      <c r="AT69" s="17">
        <f>AB69+AP69</f>
        <v/>
      </c>
      <c r="AU69" s="18">
        <f>AD69+AQ69</f>
        <v/>
      </c>
      <c r="AV69" s="17">
        <f>$J69*AT69</f>
        <v/>
      </c>
      <c r="AW69" s="18">
        <f>$J69*AU69</f>
        <v/>
      </c>
      <c r="AX69" s="21" t="inlineStr">
        <is>
          <t>No separately priced options for İR in the RFQ (gearmotor alternative not priced)</t>
        </is>
      </c>
      <c r="AY69" s="22" t="n"/>
    </row>
    <row r="70">
      <c r="A70" s="10" t="inlineStr">
        <is>
          <t>GB-066</t>
        </is>
      </c>
      <c r="B70" s="10" t="inlineStr">
        <is>
          <t>Helical Inline</t>
        </is>
      </c>
      <c r="C70" s="10" t="inlineStr">
        <is>
          <t>R / Equivalent</t>
        </is>
      </c>
      <c r="D70" s="10" t="inlineStr">
        <is>
          <t>Supplier selection</t>
        </is>
      </c>
      <c r="E70" s="10" t="n">
        <v>1.1</v>
      </c>
      <c r="F70" s="10" t="inlineStr">
        <is>
          <t>1:40</t>
        </is>
      </c>
      <c r="G70" s="10" t="inlineStr">
        <is>
          <t>B3 foot</t>
        </is>
      </c>
      <c r="H70" s="10" t="inlineStr">
        <is>
          <t>Solid output shaft</t>
        </is>
      </c>
      <c r="I70" s="10" t="inlineStr">
        <is>
          <t>IEC motor adaptor/input</t>
        </is>
      </c>
      <c r="J70" s="10" t="n">
        <v>1</v>
      </c>
      <c r="K70" s="11" t="inlineStr">
        <is>
          <t>İR (helical inline)</t>
        </is>
      </c>
      <c r="L70" s="12" t="inlineStr">
        <is>
          <t>İRAP 73  i=41.66  + IEC 90 B5 input (code 155)</t>
        </is>
      </c>
      <c r="M70" s="13" t="inlineStr">
        <is>
          <t>İRAM 73 / 90 S 4a</t>
        </is>
      </c>
      <c r="N70" s="11" t="n">
        <v>41.66</v>
      </c>
      <c r="O70" s="11" t="n">
        <v>33</v>
      </c>
      <c r="P70" s="11" t="n">
        <v>304</v>
      </c>
      <c r="Q70" s="13" t="inlineStr">
        <is>
          <t>Sf 2.79</t>
        </is>
      </c>
      <c r="R70" s="13" t="inlineStr">
        <is>
          <t>Gearmotor table, 4-pole motor, n1≈1400 rpm</t>
        </is>
      </c>
      <c r="S70" s="13" t="inlineStr">
        <is>
          <t>Solid output shaft (foot mounted)</t>
        </is>
      </c>
      <c r="T70" s="13" t="inlineStr">
        <is>
          <t>IEC 90 B5 (motor 90 S 4a)</t>
        </is>
      </c>
      <c r="U70" s="13" t="inlineStr">
        <is>
          <t>IEC B5 input flange 155 (or 156 PAM with coupling); İRAFM foot+flange version available</t>
        </is>
      </c>
      <c r="V70" s="13" t="inlineStr">
        <is>
          <t>IR 2024: ratings p.65; dims p.271-274</t>
        </is>
      </c>
      <c r="W70" s="13" t="inlineStr">
        <is>
          <t>Smallest housing with Sf ≥ 1.5 at 1.1 kW / 1400 rpm. Ratio deviation +4.1% vs 1:40. Larger alternatives: 731 (i=39.88, Sf=2.2). Quote both reducer-only and gearmotor lines (RFQ).</t>
        </is>
      </c>
      <c r="X70" s="14" t="inlineStr">
        <is>
          <t>IRAP 73 – IEC 90 B5 / B14</t>
        </is>
      </c>
      <c r="Y70" s="15" t="inlineStr">
        <is>
          <t>p.16 (IRP series, IEC B5/B14 flanged)</t>
        </is>
      </c>
      <c r="Z70" s="15" t="inlineStr">
        <is>
          <t>YES</t>
        </is>
      </c>
      <c r="AA70" s="15" t="inlineStr">
        <is>
          <t>Gear unit with IEC input flange, solid output shaft, foot mounted</t>
        </is>
      </c>
      <c r="AB70" s="16" t="n">
        <v>639</v>
      </c>
      <c r="AC70" s="17">
        <f>$J70*AB70</f>
        <v/>
      </c>
      <c r="AD70" s="18">
        <f>ROUND(AB70*(1-$L$2),2)</f>
        <v/>
      </c>
      <c r="AE70" s="18">
        <f>$J70*AD70</f>
        <v/>
      </c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>
        <f>SUM(AF70,AH70,AJ70,AL70,AN70)</f>
        <v/>
      </c>
      <c r="AQ70" s="17">
        <f>SUM(AG70,AI70,AK70,AM70,AO70)</f>
        <v/>
      </c>
      <c r="AR70" s="17">
        <f>$J70*AP70</f>
        <v/>
      </c>
      <c r="AS70" s="17">
        <f>$J70*AQ70</f>
        <v/>
      </c>
      <c r="AT70" s="17">
        <f>AB70+AP70</f>
        <v/>
      </c>
      <c r="AU70" s="18">
        <f>AD70+AQ70</f>
        <v/>
      </c>
      <c r="AV70" s="17">
        <f>$J70*AT70</f>
        <v/>
      </c>
      <c r="AW70" s="18">
        <f>$J70*AU70</f>
        <v/>
      </c>
      <c r="AX70" s="21" t="inlineStr">
        <is>
          <t>No separately priced options for İR in the RFQ (gearmotor alternative not priced)</t>
        </is>
      </c>
      <c r="AY70" s="22" t="n"/>
    </row>
    <row r="71">
      <c r="A71" s="10" t="inlineStr">
        <is>
          <t>GB-067</t>
        </is>
      </c>
      <c r="B71" s="10" t="inlineStr">
        <is>
          <t>Helical Inline</t>
        </is>
      </c>
      <c r="C71" s="10" t="inlineStr">
        <is>
          <t>R / Equivalent</t>
        </is>
      </c>
      <c r="D71" s="10" t="inlineStr">
        <is>
          <t>Supplier selection</t>
        </is>
      </c>
      <c r="E71" s="10" t="n">
        <v>1.5</v>
      </c>
      <c r="F71" s="10" t="inlineStr">
        <is>
          <t>1:10</t>
        </is>
      </c>
      <c r="G71" s="10" t="inlineStr">
        <is>
          <t>B3 foot</t>
        </is>
      </c>
      <c r="H71" s="10" t="inlineStr">
        <is>
          <t>Solid output shaft</t>
        </is>
      </c>
      <c r="I71" s="10" t="inlineStr">
        <is>
          <t>IEC motor adaptor/input</t>
        </is>
      </c>
      <c r="J71" s="10" t="n">
        <v>2</v>
      </c>
      <c r="K71" s="11" t="inlineStr">
        <is>
          <t>İR (helical inline)</t>
        </is>
      </c>
      <c r="L71" s="12" t="inlineStr">
        <is>
          <t>İRAP 62  i=10.07  + IEC 90 B5 input (code 155)</t>
        </is>
      </c>
      <c r="M71" s="13" t="inlineStr">
        <is>
          <t>İRAM 62 / 90 L 4a</t>
        </is>
      </c>
      <c r="N71" s="11" t="n">
        <v>10.07</v>
      </c>
      <c r="O71" s="11" t="n">
        <v>138</v>
      </c>
      <c r="P71" s="11" t="n">
        <v>101</v>
      </c>
      <c r="Q71" s="13" t="inlineStr">
        <is>
          <t>Sf 3.81</t>
        </is>
      </c>
      <c r="R71" s="13" t="inlineStr">
        <is>
          <t>Gearmotor table, 4-pole motor, n1≈1400 rpm</t>
        </is>
      </c>
      <c r="S71" s="13" t="inlineStr">
        <is>
          <t>Solid output shaft (foot mounted)</t>
        </is>
      </c>
      <c r="T71" s="13" t="inlineStr">
        <is>
          <t>IEC 90 B5 (motor 90 L 4a)</t>
        </is>
      </c>
      <c r="U71" s="13" t="inlineStr">
        <is>
          <t>IEC B5 input flange 155 (or 156 PAM with coupling); İRAFM foot+flange version available</t>
        </is>
      </c>
      <c r="V71" s="13" t="inlineStr">
        <is>
          <t>IR 2024: ratings p.70; dims p.231-234</t>
        </is>
      </c>
      <c r="W71" s="13" t="inlineStr">
        <is>
          <t>Smallest housing with Sf ≥ 1.5 at 1.5 kW / 1400 rpm. Ratio deviation +0.7% vs 1:10. Quote both reducer-only and gearmotor lines (RFQ).</t>
        </is>
      </c>
      <c r="X71" s="14" t="inlineStr">
        <is>
          <t>IRAP 62 – IEC 90 B5 / B14</t>
        </is>
      </c>
      <c r="Y71" s="15" t="inlineStr">
        <is>
          <t>p.15 (IRP series, IEC B5/B14 flanged)</t>
        </is>
      </c>
      <c r="Z71" s="15" t="inlineStr">
        <is>
          <t>YES</t>
        </is>
      </c>
      <c r="AA71" s="15" t="inlineStr">
        <is>
          <t>Gear unit with IEC input flange, solid output shaft, foot mounted</t>
        </is>
      </c>
      <c r="AB71" s="16" t="n">
        <v>409</v>
      </c>
      <c r="AC71" s="17">
        <f>$J71*AB71</f>
        <v/>
      </c>
      <c r="AD71" s="18">
        <f>ROUND(AB71*(1-$L$2),2)</f>
        <v/>
      </c>
      <c r="AE71" s="18">
        <f>$J71*AD71</f>
        <v/>
      </c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>
        <f>SUM(AF71,AH71,AJ71,AL71,AN71)</f>
        <v/>
      </c>
      <c r="AQ71" s="17">
        <f>SUM(AG71,AI71,AK71,AM71,AO71)</f>
        <v/>
      </c>
      <c r="AR71" s="17">
        <f>$J71*AP71</f>
        <v/>
      </c>
      <c r="AS71" s="17">
        <f>$J71*AQ71</f>
        <v/>
      </c>
      <c r="AT71" s="17">
        <f>AB71+AP71</f>
        <v/>
      </c>
      <c r="AU71" s="18">
        <f>AD71+AQ71</f>
        <v/>
      </c>
      <c r="AV71" s="17">
        <f>$J71*AT71</f>
        <v/>
      </c>
      <c r="AW71" s="18">
        <f>$J71*AU71</f>
        <v/>
      </c>
      <c r="AX71" s="21" t="inlineStr">
        <is>
          <t>No separately priced options for İR in the RFQ (gearmotor alternative not priced)</t>
        </is>
      </c>
      <c r="AY71" s="22" t="n"/>
    </row>
    <row r="72">
      <c r="A72" s="10" t="inlineStr">
        <is>
          <t>GB-068</t>
        </is>
      </c>
      <c r="B72" s="10" t="inlineStr">
        <is>
          <t>Helical Inline</t>
        </is>
      </c>
      <c r="C72" s="10" t="inlineStr">
        <is>
          <t>R / Equivalent</t>
        </is>
      </c>
      <c r="D72" s="10" t="inlineStr">
        <is>
          <t>Supplier selection</t>
        </is>
      </c>
      <c r="E72" s="10" t="n">
        <v>1.5</v>
      </c>
      <c r="F72" s="10" t="inlineStr">
        <is>
          <t>1:20</t>
        </is>
      </c>
      <c r="G72" s="10" t="inlineStr">
        <is>
          <t>B3 foot</t>
        </is>
      </c>
      <c r="H72" s="10" t="inlineStr">
        <is>
          <t>Solid output shaft</t>
        </is>
      </c>
      <c r="I72" s="10" t="inlineStr">
        <is>
          <t>IEC motor adaptor/input</t>
        </is>
      </c>
      <c r="J72" s="10" t="n">
        <v>2</v>
      </c>
      <c r="K72" s="11" t="inlineStr">
        <is>
          <t>İR (helical inline)</t>
        </is>
      </c>
      <c r="L72" s="12" t="inlineStr">
        <is>
          <t>İRAP 63  i=20.53  + IEC 90 B5 input (code 155)</t>
        </is>
      </c>
      <c r="M72" s="13" t="inlineStr">
        <is>
          <t>İRAM 63 / 90 L 4a</t>
        </is>
      </c>
      <c r="N72" s="11" t="n">
        <v>20.53</v>
      </c>
      <c r="O72" s="11" t="n">
        <v>68</v>
      </c>
      <c r="P72" s="11" t="n">
        <v>201</v>
      </c>
      <c r="Q72" s="13" t="inlineStr">
        <is>
          <t>Sf 2.34</t>
        </is>
      </c>
      <c r="R72" s="13" t="inlineStr">
        <is>
          <t>Gearmotor table, 4-pole motor, n1≈1400 rpm</t>
        </is>
      </c>
      <c r="S72" s="13" t="inlineStr">
        <is>
          <t>Solid output shaft (foot mounted)</t>
        </is>
      </c>
      <c r="T72" s="13" t="inlineStr">
        <is>
          <t>IEC 90 B5 (motor 90 L 4a)</t>
        </is>
      </c>
      <c r="U72" s="13" t="inlineStr">
        <is>
          <t>IEC B5 input flange 155 (or 156 PAM with coupling); İRAFM foot+flange version available</t>
        </is>
      </c>
      <c r="V72" s="13" t="inlineStr">
        <is>
          <t>IR 2024: ratings p.70; dims p.231-234</t>
        </is>
      </c>
      <c r="W72" s="13" t="inlineStr">
        <is>
          <t>Smallest housing with Sf ≥ 1.5 at 1.5 kW / 1400 rpm. Ratio deviation +2.7% vs 1:20. Quote both reducer-only and gearmotor lines (RFQ).</t>
        </is>
      </c>
      <c r="X72" s="14" t="inlineStr">
        <is>
          <t>IRAP 63 – IEC 90 B5 / B14</t>
        </is>
      </c>
      <c r="Y72" s="15" t="inlineStr">
        <is>
          <t>p.15 (IRP series, IEC B5/B14 flanged)</t>
        </is>
      </c>
      <c r="Z72" s="15" t="inlineStr">
        <is>
          <t>YES</t>
        </is>
      </c>
      <c r="AA72" s="15" t="inlineStr">
        <is>
          <t>Gear unit with IEC input flange, solid output shaft, foot mounted</t>
        </is>
      </c>
      <c r="AB72" s="16" t="n">
        <v>422</v>
      </c>
      <c r="AC72" s="17">
        <f>$J72*AB72</f>
        <v/>
      </c>
      <c r="AD72" s="18">
        <f>ROUND(AB72*(1-$L$2),2)</f>
        <v/>
      </c>
      <c r="AE72" s="18">
        <f>$J72*AD72</f>
        <v/>
      </c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>
        <f>SUM(AF72,AH72,AJ72,AL72,AN72)</f>
        <v/>
      </c>
      <c r="AQ72" s="17">
        <f>SUM(AG72,AI72,AK72,AM72,AO72)</f>
        <v/>
      </c>
      <c r="AR72" s="17">
        <f>$J72*AP72</f>
        <v/>
      </c>
      <c r="AS72" s="17">
        <f>$J72*AQ72</f>
        <v/>
      </c>
      <c r="AT72" s="17">
        <f>AB72+AP72</f>
        <v/>
      </c>
      <c r="AU72" s="18">
        <f>AD72+AQ72</f>
        <v/>
      </c>
      <c r="AV72" s="17">
        <f>$J72*AT72</f>
        <v/>
      </c>
      <c r="AW72" s="18">
        <f>$J72*AU72</f>
        <v/>
      </c>
      <c r="AX72" s="21" t="inlineStr">
        <is>
          <t>No separately priced options for İR in the RFQ (gearmotor alternative not priced)</t>
        </is>
      </c>
      <c r="AY72" s="22" t="n"/>
    </row>
    <row r="73">
      <c r="A73" s="10" t="inlineStr">
        <is>
          <t>GB-069</t>
        </is>
      </c>
      <c r="B73" s="10" t="inlineStr">
        <is>
          <t>Helical Inline</t>
        </is>
      </c>
      <c r="C73" s="10" t="inlineStr">
        <is>
          <t>R / Equivalent</t>
        </is>
      </c>
      <c r="D73" s="10" t="inlineStr">
        <is>
          <t>Supplier selection</t>
        </is>
      </c>
      <c r="E73" s="10" t="n">
        <v>1.5</v>
      </c>
      <c r="F73" s="10" t="inlineStr">
        <is>
          <t>1:30</t>
        </is>
      </c>
      <c r="G73" s="10" t="inlineStr">
        <is>
          <t>B3 foot</t>
        </is>
      </c>
      <c r="H73" s="10" t="inlineStr">
        <is>
          <t>Solid output shaft</t>
        </is>
      </c>
      <c r="I73" s="10" t="inlineStr">
        <is>
          <t>IEC motor adaptor/input</t>
        </is>
      </c>
      <c r="J73" s="10" t="n">
        <v>1</v>
      </c>
      <c r="K73" s="11" t="inlineStr">
        <is>
          <t>İR (helical inline)</t>
        </is>
      </c>
      <c r="L73" s="12" t="inlineStr">
        <is>
          <t>İRAP 63  i=29.85  + IEC 90 B5 input (code 155)</t>
        </is>
      </c>
      <c r="M73" s="13" t="inlineStr">
        <is>
          <t>İRAM 63 / 90 L 4a</t>
        </is>
      </c>
      <c r="N73" s="11" t="n">
        <v>29.85</v>
      </c>
      <c r="O73" s="11" t="n">
        <v>46</v>
      </c>
      <c r="P73" s="11" t="n">
        <v>298</v>
      </c>
      <c r="Q73" s="13" t="inlineStr">
        <is>
          <t>Sf 1.61</t>
        </is>
      </c>
      <c r="R73" s="13" t="inlineStr">
        <is>
          <t>Gearmotor table, 4-pole motor, n1≈1400 rpm</t>
        </is>
      </c>
      <c r="S73" s="13" t="inlineStr">
        <is>
          <t>Solid output shaft (foot mounted)</t>
        </is>
      </c>
      <c r="T73" s="13" t="inlineStr">
        <is>
          <t>IEC 90 B5 (motor 90 L 4a)</t>
        </is>
      </c>
      <c r="U73" s="13" t="inlineStr">
        <is>
          <t>IEC B5 input flange 155 (or 156 PAM with coupling); İRAFM foot+flange version available</t>
        </is>
      </c>
      <c r="V73" s="13" t="inlineStr">
        <is>
          <t>IR 2024: ratings p.70; dims p.231-234</t>
        </is>
      </c>
      <c r="W73" s="13" t="inlineStr">
        <is>
          <t>Smallest housing with Sf ≥ 1.5 at 1.5 kW / 1400 rpm. Ratio deviation -0.5% vs 1:30. Larger alternatives: 73 (i=31.16, Sf=2.56); 731 (i=31.3, Sf=1.9). Quote both reducer-only and gearmotor lines (RFQ).</t>
        </is>
      </c>
      <c r="X73" s="14" t="inlineStr">
        <is>
          <t>IRAP 63 – IEC 90 B5 / B14</t>
        </is>
      </c>
      <c r="Y73" s="15" t="inlineStr">
        <is>
          <t>p.15 (IRP series, IEC B5/B14 flanged)</t>
        </is>
      </c>
      <c r="Z73" s="15" t="inlineStr">
        <is>
          <t>YES</t>
        </is>
      </c>
      <c r="AA73" s="15" t="inlineStr">
        <is>
          <t>Gear unit with IEC input flange, solid output shaft, foot mounted</t>
        </is>
      </c>
      <c r="AB73" s="16" t="n">
        <v>422</v>
      </c>
      <c r="AC73" s="17">
        <f>$J73*AB73</f>
        <v/>
      </c>
      <c r="AD73" s="18">
        <f>ROUND(AB73*(1-$L$2),2)</f>
        <v/>
      </c>
      <c r="AE73" s="18">
        <f>$J73*AD73</f>
        <v/>
      </c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>
        <f>SUM(AF73,AH73,AJ73,AL73,AN73)</f>
        <v/>
      </c>
      <c r="AQ73" s="17">
        <f>SUM(AG73,AI73,AK73,AM73,AO73)</f>
        <v/>
      </c>
      <c r="AR73" s="17">
        <f>$J73*AP73</f>
        <v/>
      </c>
      <c r="AS73" s="17">
        <f>$J73*AQ73</f>
        <v/>
      </c>
      <c r="AT73" s="17">
        <f>AB73+AP73</f>
        <v/>
      </c>
      <c r="AU73" s="18">
        <f>AD73+AQ73</f>
        <v/>
      </c>
      <c r="AV73" s="17">
        <f>$J73*AT73</f>
        <v/>
      </c>
      <c r="AW73" s="18">
        <f>$J73*AU73</f>
        <v/>
      </c>
      <c r="AX73" s="21" t="inlineStr">
        <is>
          <t>No separately priced options for İR in the RFQ (gearmotor alternative not priced)</t>
        </is>
      </c>
      <c r="AY73" s="22" t="n"/>
    </row>
    <row r="74">
      <c r="A74" s="10" t="inlineStr">
        <is>
          <t>GB-070</t>
        </is>
      </c>
      <c r="B74" s="10" t="inlineStr">
        <is>
          <t>Helical Inline</t>
        </is>
      </c>
      <c r="C74" s="10" t="inlineStr">
        <is>
          <t>R / Equivalent</t>
        </is>
      </c>
      <c r="D74" s="10" t="inlineStr">
        <is>
          <t>Supplier selection</t>
        </is>
      </c>
      <c r="E74" s="10" t="n">
        <v>1.5</v>
      </c>
      <c r="F74" s="10" t="inlineStr">
        <is>
          <t>1:40</t>
        </is>
      </c>
      <c r="G74" s="10" t="inlineStr">
        <is>
          <t>B3 foot</t>
        </is>
      </c>
      <c r="H74" s="10" t="inlineStr">
        <is>
          <t>Solid output shaft</t>
        </is>
      </c>
      <c r="I74" s="10" t="inlineStr">
        <is>
          <t>IEC motor adaptor/input</t>
        </is>
      </c>
      <c r="J74" s="10" t="n">
        <v>1</v>
      </c>
      <c r="K74" s="11" t="inlineStr">
        <is>
          <t>İR (helical inline)</t>
        </is>
      </c>
      <c r="L74" s="12" t="inlineStr">
        <is>
          <t>İRAP 73  i=41.66  + IEC 90 B5 input (code 155)</t>
        </is>
      </c>
      <c r="M74" s="13" t="inlineStr">
        <is>
          <t>İRAM 73 / 90 L 4a</t>
        </is>
      </c>
      <c r="N74" s="11" t="n">
        <v>41.66</v>
      </c>
      <c r="O74" s="11" t="n">
        <v>33</v>
      </c>
      <c r="P74" s="11" t="n">
        <v>415</v>
      </c>
      <c r="Q74" s="13" t="inlineStr">
        <is>
          <t>Sf 2.05</t>
        </is>
      </c>
      <c r="R74" s="13" t="inlineStr">
        <is>
          <t>Gearmotor table, 4-pole motor, n1≈1400 rpm</t>
        </is>
      </c>
      <c r="S74" s="13" t="inlineStr">
        <is>
          <t>Solid output shaft (foot mounted)</t>
        </is>
      </c>
      <c r="T74" s="13" t="inlineStr">
        <is>
          <t>IEC 90 B5 (motor 90 L 4a)</t>
        </is>
      </c>
      <c r="U74" s="13" t="inlineStr">
        <is>
          <t>IEC B5 input flange 155 (or 156 PAM with coupling); İRAFM foot+flange version available</t>
        </is>
      </c>
      <c r="V74" s="13" t="inlineStr">
        <is>
          <t>IR 2024: ratings p.69; dims p.271-274</t>
        </is>
      </c>
      <c r="W74" s="13" t="inlineStr">
        <is>
          <t>Smallest housing with Sf ≥ 1.5 at 1.5 kW / 1400 rpm. Ratio deviation +4.1% vs 1:40. Larger alternatives: 731 (i=39.88, Sf=1.61); 83 (i=41.22, Sf=3.6). Quote both reducer-only and gearmotor lines (RFQ).</t>
        </is>
      </c>
      <c r="X74" s="14" t="inlineStr">
        <is>
          <t>IRAP 73 – IEC 90 B5 / B14</t>
        </is>
      </c>
      <c r="Y74" s="15" t="inlineStr">
        <is>
          <t>p.16 (IRP series, IEC B5/B14 flanged)</t>
        </is>
      </c>
      <c r="Z74" s="15" t="inlineStr">
        <is>
          <t>YES</t>
        </is>
      </c>
      <c r="AA74" s="15" t="inlineStr">
        <is>
          <t>Gear unit with IEC input flange, solid output shaft, foot mounted</t>
        </is>
      </c>
      <c r="AB74" s="16" t="n">
        <v>639</v>
      </c>
      <c r="AC74" s="17">
        <f>$J74*AB74</f>
        <v/>
      </c>
      <c r="AD74" s="18">
        <f>ROUND(AB74*(1-$L$2),2)</f>
        <v/>
      </c>
      <c r="AE74" s="18">
        <f>$J74*AD74</f>
        <v/>
      </c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>
        <f>SUM(AF74,AH74,AJ74,AL74,AN74)</f>
        <v/>
      </c>
      <c r="AQ74" s="17">
        <f>SUM(AG74,AI74,AK74,AM74,AO74)</f>
        <v/>
      </c>
      <c r="AR74" s="17">
        <f>$J74*AP74</f>
        <v/>
      </c>
      <c r="AS74" s="17">
        <f>$J74*AQ74</f>
        <v/>
      </c>
      <c r="AT74" s="17">
        <f>AB74+AP74</f>
        <v/>
      </c>
      <c r="AU74" s="18">
        <f>AD74+AQ74</f>
        <v/>
      </c>
      <c r="AV74" s="17">
        <f>$J74*AT74</f>
        <v/>
      </c>
      <c r="AW74" s="18">
        <f>$J74*AU74</f>
        <v/>
      </c>
      <c r="AX74" s="21" t="inlineStr">
        <is>
          <t>No separately priced options for İR in the RFQ (gearmotor alternative not priced)</t>
        </is>
      </c>
      <c r="AY74" s="22" t="n"/>
    </row>
    <row r="75">
      <c r="A75" s="10" t="inlineStr">
        <is>
          <t>GB-071</t>
        </is>
      </c>
      <c r="B75" s="10" t="inlineStr">
        <is>
          <t>Helical Inline</t>
        </is>
      </c>
      <c r="C75" s="10" t="inlineStr">
        <is>
          <t>R / Equivalent</t>
        </is>
      </c>
      <c r="D75" s="10" t="inlineStr">
        <is>
          <t>Supplier selection</t>
        </is>
      </c>
      <c r="E75" s="10" t="n">
        <v>2.2</v>
      </c>
      <c r="F75" s="10" t="inlineStr">
        <is>
          <t>1:10</t>
        </is>
      </c>
      <c r="G75" s="10" t="inlineStr">
        <is>
          <t>B3 foot</t>
        </is>
      </c>
      <c r="H75" s="10" t="inlineStr">
        <is>
          <t>Solid output shaft</t>
        </is>
      </c>
      <c r="I75" s="10" t="inlineStr">
        <is>
          <t>IEC motor adaptor/input</t>
        </is>
      </c>
      <c r="J75" s="10" t="n">
        <v>1</v>
      </c>
      <c r="K75" s="11" t="inlineStr">
        <is>
          <t>İR (helical inline)</t>
        </is>
      </c>
      <c r="L75" s="12" t="inlineStr">
        <is>
          <t>İRAP 62  i=10.07  + IEC 100 B5 input (code 155)</t>
        </is>
      </c>
      <c r="M75" s="13" t="inlineStr">
        <is>
          <t>İRAM 62 / 100 L 4a</t>
        </is>
      </c>
      <c r="N75" s="11" t="n">
        <v>10.07</v>
      </c>
      <c r="O75" s="11" t="n">
        <v>138</v>
      </c>
      <c r="P75" s="11" t="n">
        <v>148</v>
      </c>
      <c r="Q75" s="13" t="inlineStr">
        <is>
          <t>Sf 2.6</t>
        </is>
      </c>
      <c r="R75" s="13" t="inlineStr">
        <is>
          <t>Gearmotor table, 4-pole motor, n1≈1400 rpm</t>
        </is>
      </c>
      <c r="S75" s="13" t="inlineStr">
        <is>
          <t>Solid output shaft (foot mounted)</t>
        </is>
      </c>
      <c r="T75" s="13" t="inlineStr">
        <is>
          <t>IEC 100 B5 (motor 100 L 4a)</t>
        </is>
      </c>
      <c r="U75" s="13" t="inlineStr">
        <is>
          <t>IEC B5 input flange 155 (or 156 PAM with coupling); İRAFM foot+flange version available</t>
        </is>
      </c>
      <c r="V75" s="13" t="inlineStr">
        <is>
          <t>IR 2024: ratings p.75; dims p.231-234</t>
        </is>
      </c>
      <c r="W75" s="13" t="inlineStr">
        <is>
          <t>Smallest housing with Sf ≥ 1.5 at 2.2 kW / 1400 rpm. Ratio deviation +0.7% vs 1:10. Larger alternatives: 721 (i=9.866, Sf=3.27). Quote both reducer-only and gearmotor lines (RFQ).</t>
        </is>
      </c>
      <c r="X75" s="14" t="inlineStr">
        <is>
          <t>IRAP 62 – IEC 100 B5 / B14</t>
        </is>
      </c>
      <c r="Y75" s="15" t="inlineStr">
        <is>
          <t>p.15 (IRP series, IEC B5/B14 flanged)</t>
        </is>
      </c>
      <c r="Z75" s="15" t="inlineStr">
        <is>
          <t>YES</t>
        </is>
      </c>
      <c r="AA75" s="15" t="inlineStr">
        <is>
          <t>Gear unit with IEC input flange, solid output shaft, foot mounted</t>
        </is>
      </c>
      <c r="AB75" s="16" t="n">
        <v>416</v>
      </c>
      <c r="AC75" s="17">
        <f>$J75*AB75</f>
        <v/>
      </c>
      <c r="AD75" s="18">
        <f>ROUND(AB75*(1-$L$2),2)</f>
        <v/>
      </c>
      <c r="AE75" s="18">
        <f>$J75*AD75</f>
        <v/>
      </c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>
        <f>SUM(AF75,AH75,AJ75,AL75,AN75)</f>
        <v/>
      </c>
      <c r="AQ75" s="17">
        <f>SUM(AG75,AI75,AK75,AM75,AO75)</f>
        <v/>
      </c>
      <c r="AR75" s="17">
        <f>$J75*AP75</f>
        <v/>
      </c>
      <c r="AS75" s="17">
        <f>$J75*AQ75</f>
        <v/>
      </c>
      <c r="AT75" s="17">
        <f>AB75+AP75</f>
        <v/>
      </c>
      <c r="AU75" s="18">
        <f>AD75+AQ75</f>
        <v/>
      </c>
      <c r="AV75" s="17">
        <f>$J75*AT75</f>
        <v/>
      </c>
      <c r="AW75" s="18">
        <f>$J75*AU75</f>
        <v/>
      </c>
      <c r="AX75" s="21" t="inlineStr">
        <is>
          <t>No separately priced options for İR in the RFQ (gearmotor alternative not priced)</t>
        </is>
      </c>
      <c r="AY75" s="22" t="n"/>
    </row>
    <row r="76">
      <c r="A76" s="10" t="inlineStr">
        <is>
          <t>GB-072</t>
        </is>
      </c>
      <c r="B76" s="10" t="inlineStr">
        <is>
          <t>Helical Inline</t>
        </is>
      </c>
      <c r="C76" s="10" t="inlineStr">
        <is>
          <t>R / Equivalent</t>
        </is>
      </c>
      <c r="D76" s="10" t="inlineStr">
        <is>
          <t>Supplier selection</t>
        </is>
      </c>
      <c r="E76" s="10" t="n">
        <v>2.2</v>
      </c>
      <c r="F76" s="10" t="inlineStr">
        <is>
          <t>1:15</t>
        </is>
      </c>
      <c r="G76" s="10" t="inlineStr">
        <is>
          <t>B3 foot</t>
        </is>
      </c>
      <c r="H76" s="10" t="inlineStr">
        <is>
          <t>Solid output shaft</t>
        </is>
      </c>
      <c r="I76" s="10" t="inlineStr">
        <is>
          <t>IEC motor adaptor/input</t>
        </is>
      </c>
      <c r="J76" s="10" t="n">
        <v>1</v>
      </c>
      <c r="K76" s="11" t="inlineStr">
        <is>
          <t>İR (helical inline)</t>
        </is>
      </c>
      <c r="L76" s="12" t="inlineStr">
        <is>
          <t>İRAP 63  i=15.59  + IEC 100 B5 input (code 155)</t>
        </is>
      </c>
      <c r="M76" s="13" t="inlineStr">
        <is>
          <t>İRAM 63 / 100 L 4a</t>
        </is>
      </c>
      <c r="N76" s="11" t="n">
        <v>15.59</v>
      </c>
      <c r="O76" s="11" t="n">
        <v>89</v>
      </c>
      <c r="P76" s="11" t="n">
        <v>226</v>
      </c>
      <c r="Q76" s="13" t="inlineStr">
        <is>
          <t>Sf 2.04</t>
        </is>
      </c>
      <c r="R76" s="13" t="inlineStr">
        <is>
          <t>Gearmotor table, 4-pole motor, n1≈1400 rpm</t>
        </is>
      </c>
      <c r="S76" s="13" t="inlineStr">
        <is>
          <t>Solid output shaft (foot mounted)</t>
        </is>
      </c>
      <c r="T76" s="13" t="inlineStr">
        <is>
          <t>IEC 100 B5 (motor 100 L 4a)</t>
        </is>
      </c>
      <c r="U76" s="13" t="inlineStr">
        <is>
          <t>IEC B5 input flange 155 (or 156 PAM with coupling); İRAFM foot+flange version available</t>
        </is>
      </c>
      <c r="V76" s="13" t="inlineStr">
        <is>
          <t>IR 2024: ratings p.75; dims p.231-234</t>
        </is>
      </c>
      <c r="W76" s="13" t="inlineStr">
        <is>
          <t>Smallest housing with Sf ≥ 1.5 at 2.2 kW / 1400 rpm. Ratio deviation +3.9% vs 1:15. Larger alternatives: 73 (i=15.06, Sf=3.9); 721 (i=15.39, Sf=2.3). Quote both reducer-only and gearmotor lines (RFQ).</t>
        </is>
      </c>
      <c r="X76" s="14" t="inlineStr">
        <is>
          <t>IRAP 63 – IEC 100 B5 / B14</t>
        </is>
      </c>
      <c r="Y76" s="15" t="inlineStr">
        <is>
          <t>p.15 (IRP series, IEC B5/B14 flanged)</t>
        </is>
      </c>
      <c r="Z76" s="15" t="inlineStr">
        <is>
          <t>YES</t>
        </is>
      </c>
      <c r="AA76" s="15" t="inlineStr">
        <is>
          <t>Gear unit with IEC input flange, solid output shaft, foot mounted</t>
        </is>
      </c>
      <c r="AB76" s="16" t="n">
        <v>429</v>
      </c>
      <c r="AC76" s="17">
        <f>$J76*AB76</f>
        <v/>
      </c>
      <c r="AD76" s="18">
        <f>ROUND(AB76*(1-$L$2),2)</f>
        <v/>
      </c>
      <c r="AE76" s="18">
        <f>$J76*AD76</f>
        <v/>
      </c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>
        <f>SUM(AF76,AH76,AJ76,AL76,AN76)</f>
        <v/>
      </c>
      <c r="AQ76" s="17">
        <f>SUM(AG76,AI76,AK76,AM76,AO76)</f>
        <v/>
      </c>
      <c r="AR76" s="17">
        <f>$J76*AP76</f>
        <v/>
      </c>
      <c r="AS76" s="17">
        <f>$J76*AQ76</f>
        <v/>
      </c>
      <c r="AT76" s="17">
        <f>AB76+AP76</f>
        <v/>
      </c>
      <c r="AU76" s="18">
        <f>AD76+AQ76</f>
        <v/>
      </c>
      <c r="AV76" s="17">
        <f>$J76*AT76</f>
        <v/>
      </c>
      <c r="AW76" s="18">
        <f>$J76*AU76</f>
        <v/>
      </c>
      <c r="AX76" s="21" t="inlineStr">
        <is>
          <t>No separately priced options for İR in the RFQ (gearmotor alternative not priced)</t>
        </is>
      </c>
      <c r="AY76" s="22" t="n"/>
    </row>
    <row r="77">
      <c r="A77" s="10" t="inlineStr">
        <is>
          <t>GB-073</t>
        </is>
      </c>
      <c r="B77" s="10" t="inlineStr">
        <is>
          <t>Helical Inline</t>
        </is>
      </c>
      <c r="C77" s="10" t="inlineStr">
        <is>
          <t>R / Equivalent</t>
        </is>
      </c>
      <c r="D77" s="10" t="inlineStr">
        <is>
          <t>Supplier selection</t>
        </is>
      </c>
      <c r="E77" s="10" t="n">
        <v>2.2</v>
      </c>
      <c r="F77" s="10" t="inlineStr">
        <is>
          <t>1:20</t>
        </is>
      </c>
      <c r="G77" s="10" t="inlineStr">
        <is>
          <t>B3 foot</t>
        </is>
      </c>
      <c r="H77" s="10" t="inlineStr">
        <is>
          <t>Solid output shaft</t>
        </is>
      </c>
      <c r="I77" s="10" t="inlineStr">
        <is>
          <t>IEC motor adaptor/input</t>
        </is>
      </c>
      <c r="J77" s="10" t="n">
        <v>1</v>
      </c>
      <c r="K77" s="11" t="inlineStr">
        <is>
          <t>İR (helical inline)</t>
        </is>
      </c>
      <c r="L77" s="12" t="inlineStr">
        <is>
          <t>İRAP 63  i=20.53  + IEC 100 B5 input (code 155)</t>
        </is>
      </c>
      <c r="M77" s="13" t="inlineStr">
        <is>
          <t>İRAM 63 / 100 L 4a</t>
        </is>
      </c>
      <c r="N77" s="11" t="n">
        <v>20.53</v>
      </c>
      <c r="O77" s="11" t="n">
        <v>68</v>
      </c>
      <c r="P77" s="11" t="n">
        <v>295</v>
      </c>
      <c r="Q77" s="13" t="inlineStr">
        <is>
          <t>Sf 1.6</t>
        </is>
      </c>
      <c r="R77" s="13" t="inlineStr">
        <is>
          <t>Gearmotor table, 4-pole motor, n1≈1400 rpm</t>
        </is>
      </c>
      <c r="S77" s="13" t="inlineStr">
        <is>
          <t>Solid output shaft (foot mounted)</t>
        </is>
      </c>
      <c r="T77" s="13" t="inlineStr">
        <is>
          <t>IEC 100 B5 (motor 100 L 4a)</t>
        </is>
      </c>
      <c r="U77" s="13" t="inlineStr">
        <is>
          <t>IEC B5 input flange 155 (or 156 PAM with coupling); İRAFM foot+flange version available</t>
        </is>
      </c>
      <c r="V77" s="13" t="inlineStr">
        <is>
          <t>IR 2024: ratings p.75; dims p.231-234</t>
        </is>
      </c>
      <c r="W77" s="13" t="inlineStr">
        <is>
          <t>Smallest housing with Sf ≥ 1.5 at 2.2 kW / 1400 rpm. Ratio deviation +2.7% vs 1:20. Larger alternatives: 73 (i=20.29, Sf=2.75); 721 (i=19.02, Sf=1.87). Quote both reducer-only and gearmotor lines (RFQ).</t>
        </is>
      </c>
      <c r="X77" s="14" t="inlineStr">
        <is>
          <t>IRAP 63 – IEC 100 B5 / B14</t>
        </is>
      </c>
      <c r="Y77" s="15" t="inlineStr">
        <is>
          <t>p.15 (IRP series, IEC B5/B14 flanged)</t>
        </is>
      </c>
      <c r="Z77" s="15" t="inlineStr">
        <is>
          <t>YES</t>
        </is>
      </c>
      <c r="AA77" s="15" t="inlineStr">
        <is>
          <t>Gear unit with IEC input flange, solid output shaft, foot mounted</t>
        </is>
      </c>
      <c r="AB77" s="16" t="n">
        <v>429</v>
      </c>
      <c r="AC77" s="17">
        <f>$J77*AB77</f>
        <v/>
      </c>
      <c r="AD77" s="18">
        <f>ROUND(AB77*(1-$L$2),2)</f>
        <v/>
      </c>
      <c r="AE77" s="18">
        <f>$J77*AD77</f>
        <v/>
      </c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>
        <f>SUM(AF77,AH77,AJ77,AL77,AN77)</f>
        <v/>
      </c>
      <c r="AQ77" s="17">
        <f>SUM(AG77,AI77,AK77,AM77,AO77)</f>
        <v/>
      </c>
      <c r="AR77" s="17">
        <f>$J77*AP77</f>
        <v/>
      </c>
      <c r="AS77" s="17">
        <f>$J77*AQ77</f>
        <v/>
      </c>
      <c r="AT77" s="17">
        <f>AB77+AP77</f>
        <v/>
      </c>
      <c r="AU77" s="18">
        <f>AD77+AQ77</f>
        <v/>
      </c>
      <c r="AV77" s="17">
        <f>$J77*AT77</f>
        <v/>
      </c>
      <c r="AW77" s="18">
        <f>$J77*AU77</f>
        <v/>
      </c>
      <c r="AX77" s="21" t="inlineStr">
        <is>
          <t>No separately priced options for İR in the RFQ (gearmotor alternative not priced)</t>
        </is>
      </c>
      <c r="AY77" s="22" t="n"/>
    </row>
    <row r="78">
      <c r="A78" s="10" t="inlineStr">
        <is>
          <t>GB-074</t>
        </is>
      </c>
      <c r="B78" s="10" t="inlineStr">
        <is>
          <t>Helical Inline</t>
        </is>
      </c>
      <c r="C78" s="10" t="inlineStr">
        <is>
          <t>R / Equivalent</t>
        </is>
      </c>
      <c r="D78" s="10" t="inlineStr">
        <is>
          <t>Supplier selection</t>
        </is>
      </c>
      <c r="E78" s="10" t="n">
        <v>2.2</v>
      </c>
      <c r="F78" s="10" t="inlineStr">
        <is>
          <t>1:30</t>
        </is>
      </c>
      <c r="G78" s="10" t="inlineStr">
        <is>
          <t>B3 foot</t>
        </is>
      </c>
      <c r="H78" s="10" t="inlineStr">
        <is>
          <t>Solid output shaft</t>
        </is>
      </c>
      <c r="I78" s="10" t="inlineStr">
        <is>
          <t>IEC motor adaptor/input</t>
        </is>
      </c>
      <c r="J78" s="10" t="n">
        <v>1</v>
      </c>
      <c r="K78" s="11" t="inlineStr">
        <is>
          <t>İR (helical inline)</t>
        </is>
      </c>
      <c r="L78" s="12" t="inlineStr">
        <is>
          <t>İRAP 73  i=31.16  + IEC 100 B5 input (code 155)</t>
        </is>
      </c>
      <c r="M78" s="13" t="inlineStr">
        <is>
          <t>İRAM 73 / 100 L 4a</t>
        </is>
      </c>
      <c r="N78" s="11" t="n">
        <v>31.16</v>
      </c>
      <c r="O78" s="11" t="n">
        <v>44</v>
      </c>
      <c r="P78" s="11" t="n">
        <v>456</v>
      </c>
      <c r="Q78" s="13" t="inlineStr">
        <is>
          <t>Sf 1.75</t>
        </is>
      </c>
      <c r="R78" s="13" t="inlineStr">
        <is>
          <t>Gearmotor table, 4-pole motor, n1≈1400 rpm</t>
        </is>
      </c>
      <c r="S78" s="13" t="inlineStr">
        <is>
          <t>Solid output shaft (foot mounted)</t>
        </is>
      </c>
      <c r="T78" s="13" t="inlineStr">
        <is>
          <t>IEC 100 B5 (motor 100 L 4a)</t>
        </is>
      </c>
      <c r="U78" s="13" t="inlineStr">
        <is>
          <t>IEC B5 input flange 155 (or 156 PAM with coupling); İRAFM foot+flange version available</t>
        </is>
      </c>
      <c r="V78" s="13" t="inlineStr">
        <is>
          <t>IR 2024: ratings p.74; dims p.271-274</t>
        </is>
      </c>
      <c r="W78" s="13" t="inlineStr">
        <is>
          <t>Smallest housing with Sf ≥ 1.5 at 2.2 kW / 1400 rpm. Ratio deviation +3.9% vs 1:30. Larger alternatives: 83 (i=30.08, Sf=3.47). Quote both reducer-only and gearmotor lines (RFQ).</t>
        </is>
      </c>
      <c r="X78" s="14" t="inlineStr">
        <is>
          <t>IRAP 73 – IEC 100 B5 / B14</t>
        </is>
      </c>
      <c r="Y78" s="15" t="inlineStr">
        <is>
          <t>p.16 (IRP series, IEC B5/B14 flanged)</t>
        </is>
      </c>
      <c r="Z78" s="15" t="inlineStr">
        <is>
          <t>YES</t>
        </is>
      </c>
      <c r="AA78" s="15" t="inlineStr">
        <is>
          <t>Gear unit with IEC input flange, solid output shaft, foot mounted</t>
        </is>
      </c>
      <c r="AB78" s="16" t="n">
        <v>656</v>
      </c>
      <c r="AC78" s="17">
        <f>$J78*AB78</f>
        <v/>
      </c>
      <c r="AD78" s="18">
        <f>ROUND(AB78*(1-$L$2),2)</f>
        <v/>
      </c>
      <c r="AE78" s="18">
        <f>$J78*AD78</f>
        <v/>
      </c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>
        <f>SUM(AF78,AH78,AJ78,AL78,AN78)</f>
        <v/>
      </c>
      <c r="AQ78" s="17">
        <f>SUM(AG78,AI78,AK78,AM78,AO78)</f>
        <v/>
      </c>
      <c r="AR78" s="17">
        <f>$J78*AP78</f>
        <v/>
      </c>
      <c r="AS78" s="17">
        <f>$J78*AQ78</f>
        <v/>
      </c>
      <c r="AT78" s="17">
        <f>AB78+AP78</f>
        <v/>
      </c>
      <c r="AU78" s="18">
        <f>AD78+AQ78</f>
        <v/>
      </c>
      <c r="AV78" s="17">
        <f>$J78*AT78</f>
        <v/>
      </c>
      <c r="AW78" s="18">
        <f>$J78*AU78</f>
        <v/>
      </c>
      <c r="AX78" s="21" t="inlineStr">
        <is>
          <t>No separately priced options for İR in the RFQ (gearmotor alternative not priced)</t>
        </is>
      </c>
      <c r="AY78" s="22" t="n"/>
    </row>
    <row r="79">
      <c r="A79" s="10" t="inlineStr">
        <is>
          <t>GB-075</t>
        </is>
      </c>
      <c r="B79" s="10" t="inlineStr">
        <is>
          <t>Helical Inline</t>
        </is>
      </c>
      <c r="C79" s="10" t="inlineStr">
        <is>
          <t>R / Equivalent</t>
        </is>
      </c>
      <c r="D79" s="10" t="inlineStr">
        <is>
          <t>Supplier selection</t>
        </is>
      </c>
      <c r="E79" s="10" t="n">
        <v>2.2</v>
      </c>
      <c r="F79" s="10" t="inlineStr">
        <is>
          <t>1:40</t>
        </is>
      </c>
      <c r="G79" s="10" t="inlineStr">
        <is>
          <t>B3 foot</t>
        </is>
      </c>
      <c r="H79" s="10" t="inlineStr">
        <is>
          <t>Solid output shaft</t>
        </is>
      </c>
      <c r="I79" s="10" t="inlineStr">
        <is>
          <t>IEC motor adaptor/input</t>
        </is>
      </c>
      <c r="J79" s="10" t="n">
        <v>1</v>
      </c>
      <c r="K79" s="11" t="inlineStr">
        <is>
          <t>İR (helical inline)</t>
        </is>
      </c>
      <c r="L79" s="12" t="inlineStr">
        <is>
          <t>İRAP 83  i=41.22  + IEC 100 B5 input (code 155)</t>
        </is>
      </c>
      <c r="M79" s="13" t="inlineStr">
        <is>
          <t>İRAM 83 / 100 L 4a</t>
        </is>
      </c>
      <c r="N79" s="11" t="n">
        <v>41.22</v>
      </c>
      <c r="O79" s="11" t="n">
        <v>33</v>
      </c>
      <c r="P79" s="11" t="n">
        <v>608</v>
      </c>
      <c r="Q79" s="13" t="inlineStr">
        <is>
          <t>Sf 2.45</t>
        </is>
      </c>
      <c r="R79" s="13" t="inlineStr">
        <is>
          <t>Gearmotor table, 4-pole motor, n1≈1400 rpm</t>
        </is>
      </c>
      <c r="S79" s="13" t="inlineStr">
        <is>
          <t>Solid output shaft (foot mounted)</t>
        </is>
      </c>
      <c r="T79" s="13" t="inlineStr">
        <is>
          <t>IEC 100 B5 (motor 100 L 4a)</t>
        </is>
      </c>
      <c r="U79" s="13" t="inlineStr">
        <is>
          <t>IEC B5 input flange 155 (or 156 PAM with coupling); İRAFM foot+flange version available</t>
        </is>
      </c>
      <c r="V79" s="13" t="inlineStr">
        <is>
          <t>IR 2024: ratings p.74; dims p.291-294</t>
        </is>
      </c>
      <c r="W79" s="13" t="inlineStr">
        <is>
          <t>Smallest housing with Sf ≥ 1.5 at 2.2 kW / 1400 rpm. Ratio deviation +3.0% vs 1:40. Quote both reducer-only and gearmotor lines (RFQ).</t>
        </is>
      </c>
      <c r="X79" s="14" t="inlineStr">
        <is>
          <t>IRAP 83 – IEC 100 B5 / B14</t>
        </is>
      </c>
      <c r="Y79" s="15" t="inlineStr">
        <is>
          <t>p.16 (IRP series, IEC B5/B14 flanged)</t>
        </is>
      </c>
      <c r="Z79" s="15" t="inlineStr">
        <is>
          <t>YES</t>
        </is>
      </c>
      <c r="AA79" s="15" t="inlineStr">
        <is>
          <t>Gear unit with IEC input flange, solid output shaft, foot mounted</t>
        </is>
      </c>
      <c r="AB79" s="16" t="n">
        <v>1071</v>
      </c>
      <c r="AC79" s="17">
        <f>$J79*AB79</f>
        <v/>
      </c>
      <c r="AD79" s="18">
        <f>ROUND(AB79*(1-$L$2),2)</f>
        <v/>
      </c>
      <c r="AE79" s="18">
        <f>$J79*AD79</f>
        <v/>
      </c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>
        <f>SUM(AF79,AH79,AJ79,AL79,AN79)</f>
        <v/>
      </c>
      <c r="AQ79" s="17">
        <f>SUM(AG79,AI79,AK79,AM79,AO79)</f>
        <v/>
      </c>
      <c r="AR79" s="17">
        <f>$J79*AP79</f>
        <v/>
      </c>
      <c r="AS79" s="17">
        <f>$J79*AQ79</f>
        <v/>
      </c>
      <c r="AT79" s="17">
        <f>AB79+AP79</f>
        <v/>
      </c>
      <c r="AU79" s="18">
        <f>AD79+AQ79</f>
        <v/>
      </c>
      <c r="AV79" s="17">
        <f>$J79*AT79</f>
        <v/>
      </c>
      <c r="AW79" s="18">
        <f>$J79*AU79</f>
        <v/>
      </c>
      <c r="AX79" s="21" t="inlineStr">
        <is>
          <t>No separately priced options for İR in the RFQ (gearmotor alternative not priced)</t>
        </is>
      </c>
      <c r="AY79" s="22" t="n"/>
    </row>
    <row r="80">
      <c r="A80" s="10" t="inlineStr">
        <is>
          <t>GB-076</t>
        </is>
      </c>
      <c r="B80" s="10" t="inlineStr">
        <is>
          <t>Helical Inline</t>
        </is>
      </c>
      <c r="C80" s="10" t="inlineStr">
        <is>
          <t>R / Equivalent</t>
        </is>
      </c>
      <c r="D80" s="10" t="inlineStr">
        <is>
          <t>Supplier selection</t>
        </is>
      </c>
      <c r="E80" s="10" t="n">
        <v>3</v>
      </c>
      <c r="F80" s="10" t="inlineStr">
        <is>
          <t>1:10</t>
        </is>
      </c>
      <c r="G80" s="10" t="inlineStr">
        <is>
          <t>B5 flange</t>
        </is>
      </c>
      <c r="H80" s="10" t="inlineStr">
        <is>
          <t>Solid output shaft</t>
        </is>
      </c>
      <c r="I80" s="10" t="inlineStr">
        <is>
          <t>IEC motor adaptor/input</t>
        </is>
      </c>
      <c r="J80" s="10" t="n">
        <v>1</v>
      </c>
      <c r="K80" s="11" t="inlineStr">
        <is>
          <t>İR (helical inline)</t>
        </is>
      </c>
      <c r="L80" s="12" t="inlineStr">
        <is>
          <t>İRFP 62  i=10.07  + IEC 100 B5 input (code 155)</t>
        </is>
      </c>
      <c r="M80" s="13" t="inlineStr">
        <is>
          <t>İRFM 62 / 100 L 4b</t>
        </is>
      </c>
      <c r="N80" s="11" t="n">
        <v>10.07</v>
      </c>
      <c r="O80" s="11" t="n">
        <v>138</v>
      </c>
      <c r="P80" s="11" t="n">
        <v>201</v>
      </c>
      <c r="Q80" s="13" t="inlineStr">
        <is>
          <t>Sf 1.9</t>
        </is>
      </c>
      <c r="R80" s="13" t="inlineStr">
        <is>
          <t>Gearmotor table, 4-pole motor, n1≈1400 rpm</t>
        </is>
      </c>
      <c r="S80" s="13" t="inlineStr">
        <is>
          <t>Solid output shaft, B5 output flange</t>
        </is>
      </c>
      <c r="T80" s="13" t="inlineStr">
        <is>
          <t>IEC 100 B5 (motor 100 L 4b)</t>
        </is>
      </c>
      <c r="U80" s="13" t="inlineStr">
        <is>
          <t>IEC B5 input flange 155 (or 156 PAM with coupling); İRAFM foot+flange version available</t>
        </is>
      </c>
      <c r="V80" s="13" t="inlineStr">
        <is>
          <t>IR 2024: ratings p.79; dims p.231-234</t>
        </is>
      </c>
      <c r="W80" s="13" t="inlineStr">
        <is>
          <t>Smallest housing with Sf ≥ 1.5 at 3 kW / 1400 rpm. Ratio deviation +0.7% vs 1:10. Larger alternatives: 721 (i=9.866, Sf=2.4). Quote both reducer-only and gearmotor lines (RFQ).</t>
        </is>
      </c>
      <c r="X80" s="14" t="inlineStr">
        <is>
          <t>IRFP 62 – IEC 100 B5 / B14</t>
        </is>
      </c>
      <c r="Y80" s="15" t="inlineStr">
        <is>
          <t>p.15 (IRP series, IEC B5/B14 flanged)</t>
        </is>
      </c>
      <c r="Z80" s="15" t="inlineStr">
        <is>
          <t>YES</t>
        </is>
      </c>
      <c r="AA80" s="15" t="inlineStr">
        <is>
          <t>Gear unit with IEC input flange, solid output shaft, B5 output flange</t>
        </is>
      </c>
      <c r="AB80" s="16" t="n">
        <v>457</v>
      </c>
      <c r="AC80" s="17">
        <f>$J80*AB80</f>
        <v/>
      </c>
      <c r="AD80" s="18">
        <f>ROUND(AB80*(1-$L$2),2)</f>
        <v/>
      </c>
      <c r="AE80" s="18">
        <f>$J80*AD80</f>
        <v/>
      </c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>
        <f>SUM(AF80,AH80,AJ80,AL80,AN80)</f>
        <v/>
      </c>
      <c r="AQ80" s="17">
        <f>SUM(AG80,AI80,AK80,AM80,AO80)</f>
        <v/>
      </c>
      <c r="AR80" s="17">
        <f>$J80*AP80</f>
        <v/>
      </c>
      <c r="AS80" s="17">
        <f>$J80*AQ80</f>
        <v/>
      </c>
      <c r="AT80" s="17">
        <f>AB80+AP80</f>
        <v/>
      </c>
      <c r="AU80" s="18">
        <f>AD80+AQ80</f>
        <v/>
      </c>
      <c r="AV80" s="17">
        <f>$J80*AT80</f>
        <v/>
      </c>
      <c r="AW80" s="18">
        <f>$J80*AU80</f>
        <v/>
      </c>
      <c r="AX80" s="21" t="inlineStr">
        <is>
          <t>No separately priced options for İR in the RFQ (gearmotor alternative not priced)</t>
        </is>
      </c>
      <c r="AY80" s="22" t="n"/>
    </row>
    <row r="81">
      <c r="A81" s="10" t="inlineStr">
        <is>
          <t>GB-077</t>
        </is>
      </c>
      <c r="B81" s="10" t="inlineStr">
        <is>
          <t>Helical Inline</t>
        </is>
      </c>
      <c r="C81" s="10" t="inlineStr">
        <is>
          <t>R / Equivalent</t>
        </is>
      </c>
      <c r="D81" s="10" t="inlineStr">
        <is>
          <t>Supplier selection</t>
        </is>
      </c>
      <c r="E81" s="10" t="n">
        <v>3</v>
      </c>
      <c r="F81" s="10" t="inlineStr">
        <is>
          <t>1:20</t>
        </is>
      </c>
      <c r="G81" s="10" t="inlineStr">
        <is>
          <t>B5 flange</t>
        </is>
      </c>
      <c r="H81" s="10" t="inlineStr">
        <is>
          <t>Solid output shaft</t>
        </is>
      </c>
      <c r="I81" s="10" t="inlineStr">
        <is>
          <t>IEC motor adaptor/input</t>
        </is>
      </c>
      <c r="J81" s="10" t="n">
        <v>1</v>
      </c>
      <c r="K81" s="11" t="inlineStr">
        <is>
          <t>İR (helical inline)</t>
        </is>
      </c>
      <c r="L81" s="12" t="inlineStr">
        <is>
          <t>İRFP 73  i=20.29  + IEC 100 B5 input (code 155)</t>
        </is>
      </c>
      <c r="M81" s="13" t="inlineStr">
        <is>
          <t>İRFM 73 / 100 L 4b</t>
        </is>
      </c>
      <c r="N81" s="11" t="n">
        <v>20.29</v>
      </c>
      <c r="O81" s="11" t="n">
        <v>68</v>
      </c>
      <c r="P81" s="11" t="n">
        <v>403</v>
      </c>
      <c r="Q81" s="13" t="inlineStr">
        <is>
          <t>Sf 2.01</t>
        </is>
      </c>
      <c r="R81" s="13" t="inlineStr">
        <is>
          <t>Gearmotor table, 4-pole motor, n1≈1400 rpm</t>
        </is>
      </c>
      <c r="S81" s="13" t="inlineStr">
        <is>
          <t>Solid output shaft, B5 output flange</t>
        </is>
      </c>
      <c r="T81" s="13" t="inlineStr">
        <is>
          <t>IEC 100 B5 (motor 100 L 4b)</t>
        </is>
      </c>
      <c r="U81" s="13" t="inlineStr">
        <is>
          <t>IEC B5 input flange 155 (or 156 PAM with coupling); İRAFM foot+flange version available</t>
        </is>
      </c>
      <c r="V81" s="13" t="inlineStr">
        <is>
          <t>IR 2024: ratings p.78; dims p.271-274</t>
        </is>
      </c>
      <c r="W81" s="13" t="inlineStr">
        <is>
          <t>Smallest housing with Sf ≥ 1.5 at 3 kW / 1400 rpm. Ratio deviation +1.4% vs 1:20. Larger alternatives: 83 (i=20.26, Sf=3.66). Quote both reducer-only and gearmotor lines (RFQ).</t>
        </is>
      </c>
      <c r="X81" s="14" t="inlineStr">
        <is>
          <t>IRFP 73 – IEC 100 B5 / B14</t>
        </is>
      </c>
      <c r="Y81" s="15" t="inlineStr">
        <is>
          <t>p.16 (IRP series, IEC B5/B14 flanged)</t>
        </is>
      </c>
      <c r="Z81" s="15" t="inlineStr">
        <is>
          <t>YES</t>
        </is>
      </c>
      <c r="AA81" s="15" t="inlineStr">
        <is>
          <t>Gear unit with IEC input flange, solid output shaft, B5 output flange</t>
        </is>
      </c>
      <c r="AB81" s="16" t="n">
        <v>721</v>
      </c>
      <c r="AC81" s="17">
        <f>$J81*AB81</f>
        <v/>
      </c>
      <c r="AD81" s="18">
        <f>ROUND(AB81*(1-$L$2),2)</f>
        <v/>
      </c>
      <c r="AE81" s="18">
        <f>$J81*AD81</f>
        <v/>
      </c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>
        <f>SUM(AF81,AH81,AJ81,AL81,AN81)</f>
        <v/>
      </c>
      <c r="AQ81" s="17">
        <f>SUM(AG81,AI81,AK81,AM81,AO81)</f>
        <v/>
      </c>
      <c r="AR81" s="17">
        <f>$J81*AP81</f>
        <v/>
      </c>
      <c r="AS81" s="17">
        <f>$J81*AQ81</f>
        <v/>
      </c>
      <c r="AT81" s="17">
        <f>AB81+AP81</f>
        <v/>
      </c>
      <c r="AU81" s="18">
        <f>AD81+AQ81</f>
        <v/>
      </c>
      <c r="AV81" s="17">
        <f>$J81*AT81</f>
        <v/>
      </c>
      <c r="AW81" s="18">
        <f>$J81*AU81</f>
        <v/>
      </c>
      <c r="AX81" s="21" t="inlineStr">
        <is>
          <t>No separately priced options for İR in the RFQ (gearmotor alternative not priced)</t>
        </is>
      </c>
      <c r="AY81" s="22" t="n"/>
    </row>
    <row r="82">
      <c r="A82" s="10" t="inlineStr">
        <is>
          <t>GB-078</t>
        </is>
      </c>
      <c r="B82" s="10" t="inlineStr">
        <is>
          <t>Helical Inline</t>
        </is>
      </c>
      <c r="C82" s="10" t="inlineStr">
        <is>
          <t>R / Equivalent</t>
        </is>
      </c>
      <c r="D82" s="10" t="inlineStr">
        <is>
          <t>Supplier selection</t>
        </is>
      </c>
      <c r="E82" s="10" t="n">
        <v>3</v>
      </c>
      <c r="F82" s="10" t="inlineStr">
        <is>
          <t>1:30</t>
        </is>
      </c>
      <c r="G82" s="10" t="inlineStr">
        <is>
          <t>B5 flange</t>
        </is>
      </c>
      <c r="H82" s="10" t="inlineStr">
        <is>
          <t>Solid output shaft</t>
        </is>
      </c>
      <c r="I82" s="10" t="inlineStr">
        <is>
          <t>IEC motor adaptor/input</t>
        </is>
      </c>
      <c r="J82" s="10" t="n">
        <v>1</v>
      </c>
      <c r="K82" s="11" t="inlineStr">
        <is>
          <t>İR (helical inline)</t>
        </is>
      </c>
      <c r="L82" s="12" t="inlineStr">
        <is>
          <t>İRFP 83  i=30.08  + IEC 100 B5 input (code 155)</t>
        </is>
      </c>
      <c r="M82" s="13" t="inlineStr">
        <is>
          <t>İRFM 83 / 100 L 4b</t>
        </is>
      </c>
      <c r="N82" s="11" t="n">
        <v>30.08</v>
      </c>
      <c r="O82" s="11" t="n">
        <v>46</v>
      </c>
      <c r="P82" s="11" t="n">
        <v>595</v>
      </c>
      <c r="Q82" s="13" t="inlineStr">
        <is>
          <t>Sf 2.55</t>
        </is>
      </c>
      <c r="R82" s="13" t="inlineStr">
        <is>
          <t>Gearmotor table, 4-pole motor, n1≈1400 rpm</t>
        </is>
      </c>
      <c r="S82" s="13" t="inlineStr">
        <is>
          <t>Solid output shaft, B5 output flange</t>
        </is>
      </c>
      <c r="T82" s="13" t="inlineStr">
        <is>
          <t>IEC 100 B5 (motor 100 L 4b)</t>
        </is>
      </c>
      <c r="U82" s="13" t="inlineStr">
        <is>
          <t>IEC B5 input flange 155 (or 156 PAM with coupling); İRAFM foot+flange version available</t>
        </is>
      </c>
      <c r="V82" s="13" t="inlineStr">
        <is>
          <t>IR 2024: ratings p.78; dims p.291-294</t>
        </is>
      </c>
      <c r="W82" s="13" t="inlineStr">
        <is>
          <t>Smallest housing with Sf ≥ 1.5 at 3 kW / 1400 rpm. Ratio deviation +0.3% vs 1:30. Quote both reducer-only and gearmotor lines (RFQ).</t>
        </is>
      </c>
      <c r="X82" s="14" t="inlineStr">
        <is>
          <t>IRFP 83 – IEC 100 B5 / B14</t>
        </is>
      </c>
      <c r="Y82" s="15" t="inlineStr">
        <is>
          <t>p.16 (IRP series, IEC B5/B14 flanged)</t>
        </is>
      </c>
      <c r="Z82" s="15" t="inlineStr">
        <is>
          <t>YES</t>
        </is>
      </c>
      <c r="AA82" s="15" t="inlineStr">
        <is>
          <t>Gear unit with IEC input flange, solid output shaft, B5 output flange</t>
        </is>
      </c>
      <c r="AB82" s="16" t="n">
        <v>1178</v>
      </c>
      <c r="AC82" s="17">
        <f>$J82*AB82</f>
        <v/>
      </c>
      <c r="AD82" s="18">
        <f>ROUND(AB82*(1-$L$2),2)</f>
        <v/>
      </c>
      <c r="AE82" s="18">
        <f>$J82*AD82</f>
        <v/>
      </c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>
        <f>SUM(AF82,AH82,AJ82,AL82,AN82)</f>
        <v/>
      </c>
      <c r="AQ82" s="17">
        <f>SUM(AG82,AI82,AK82,AM82,AO82)</f>
        <v/>
      </c>
      <c r="AR82" s="17">
        <f>$J82*AP82</f>
        <v/>
      </c>
      <c r="AS82" s="17">
        <f>$J82*AQ82</f>
        <v/>
      </c>
      <c r="AT82" s="17">
        <f>AB82+AP82</f>
        <v/>
      </c>
      <c r="AU82" s="18">
        <f>AD82+AQ82</f>
        <v/>
      </c>
      <c r="AV82" s="17">
        <f>$J82*AT82</f>
        <v/>
      </c>
      <c r="AW82" s="18">
        <f>$J82*AU82</f>
        <v/>
      </c>
      <c r="AX82" s="21" t="inlineStr">
        <is>
          <t>No separately priced options for İR in the RFQ (gearmotor alternative not priced)</t>
        </is>
      </c>
      <c r="AY82" s="22" t="n"/>
    </row>
    <row r="83">
      <c r="A83" s="10" t="inlineStr">
        <is>
          <t>GB-079</t>
        </is>
      </c>
      <c r="B83" s="10" t="inlineStr">
        <is>
          <t>Helical Inline</t>
        </is>
      </c>
      <c r="C83" s="10" t="inlineStr">
        <is>
          <t>R / Equivalent</t>
        </is>
      </c>
      <c r="D83" s="10" t="inlineStr">
        <is>
          <t>Supplier selection</t>
        </is>
      </c>
      <c r="E83" s="10" t="n">
        <v>3</v>
      </c>
      <c r="F83" s="10" t="inlineStr">
        <is>
          <t>1:40</t>
        </is>
      </c>
      <c r="G83" s="10" t="inlineStr">
        <is>
          <t>B5 flange</t>
        </is>
      </c>
      <c r="H83" s="10" t="inlineStr">
        <is>
          <t>Solid output shaft</t>
        </is>
      </c>
      <c r="I83" s="10" t="inlineStr">
        <is>
          <t>IEC motor adaptor/input</t>
        </is>
      </c>
      <c r="J83" s="10" t="n">
        <v>1</v>
      </c>
      <c r="K83" s="11" t="inlineStr">
        <is>
          <t>İR (helical inline)</t>
        </is>
      </c>
      <c r="L83" s="12" t="inlineStr">
        <is>
          <t>İRFP 83  i=41.22  + IEC 100 B5 input (code 155)</t>
        </is>
      </c>
      <c r="M83" s="13" t="inlineStr">
        <is>
          <t>İRFM 83 / 100 L 4b</t>
        </is>
      </c>
      <c r="N83" s="11" t="n">
        <v>41.22</v>
      </c>
      <c r="O83" s="11" t="n">
        <v>33</v>
      </c>
      <c r="P83" s="11" t="n">
        <v>830</v>
      </c>
      <c r="Q83" s="13" t="inlineStr">
        <is>
          <t>Sf 1.8</t>
        </is>
      </c>
      <c r="R83" s="13" t="inlineStr">
        <is>
          <t>Gearmotor table, 4-pole motor, n1≈1400 rpm</t>
        </is>
      </c>
      <c r="S83" s="13" t="inlineStr">
        <is>
          <t>Solid output shaft, B5 output flange</t>
        </is>
      </c>
      <c r="T83" s="13" t="inlineStr">
        <is>
          <t>IEC 100 B5 (motor 100 L 4b)</t>
        </is>
      </c>
      <c r="U83" s="13" t="inlineStr">
        <is>
          <t>IEC B5 input flange 155 (or 156 PAM with coupling); İRAFM foot+flange version available</t>
        </is>
      </c>
      <c r="V83" s="13" t="inlineStr">
        <is>
          <t>IR 2024: ratings p.78; dims p.291-294</t>
        </is>
      </c>
      <c r="W83" s="13" t="inlineStr">
        <is>
          <t>Smallest housing with Sf ≥ 1.5 at 3 kW / 1400 rpm. Ratio deviation +3.0% vs 1:40. Larger alternatives: 93 (i=39.13, Sf=3.59). Quote both reducer-only and gearmotor lines (RFQ).</t>
        </is>
      </c>
      <c r="X83" s="14" t="inlineStr">
        <is>
          <t>IRFP 83 – IEC 100 B5 / B14</t>
        </is>
      </c>
      <c r="Y83" s="15" t="inlineStr">
        <is>
          <t>p.16 (IRP series, IEC B5/B14 flanged)</t>
        </is>
      </c>
      <c r="Z83" s="15" t="inlineStr">
        <is>
          <t>YES</t>
        </is>
      </c>
      <c r="AA83" s="15" t="inlineStr">
        <is>
          <t>Gear unit with IEC input flange, solid output shaft, B5 output flange</t>
        </is>
      </c>
      <c r="AB83" s="16" t="n">
        <v>1178</v>
      </c>
      <c r="AC83" s="17">
        <f>$J83*AB83</f>
        <v/>
      </c>
      <c r="AD83" s="18">
        <f>ROUND(AB83*(1-$L$2),2)</f>
        <v/>
      </c>
      <c r="AE83" s="18">
        <f>$J83*AD83</f>
        <v/>
      </c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>
        <f>SUM(AF83,AH83,AJ83,AL83,AN83)</f>
        <v/>
      </c>
      <c r="AQ83" s="17">
        <f>SUM(AG83,AI83,AK83,AM83,AO83)</f>
        <v/>
      </c>
      <c r="AR83" s="17">
        <f>$J83*AP83</f>
        <v/>
      </c>
      <c r="AS83" s="17">
        <f>$J83*AQ83</f>
        <v/>
      </c>
      <c r="AT83" s="17">
        <f>AB83+AP83</f>
        <v/>
      </c>
      <c r="AU83" s="18">
        <f>AD83+AQ83</f>
        <v/>
      </c>
      <c r="AV83" s="17">
        <f>$J83*AT83</f>
        <v/>
      </c>
      <c r="AW83" s="18">
        <f>$J83*AU83</f>
        <v/>
      </c>
      <c r="AX83" s="21" t="inlineStr">
        <is>
          <t>No separately priced options for İR in the RFQ (gearmotor alternative not priced)</t>
        </is>
      </c>
      <c r="AY83" s="22" t="n"/>
    </row>
    <row r="84">
      <c r="A84" s="10" t="inlineStr">
        <is>
          <t>GB-080</t>
        </is>
      </c>
      <c r="B84" s="10" t="inlineStr">
        <is>
          <t>Helical Inline</t>
        </is>
      </c>
      <c r="C84" s="10" t="inlineStr">
        <is>
          <t>R / Equivalent</t>
        </is>
      </c>
      <c r="D84" s="10" t="inlineStr">
        <is>
          <t>Supplier selection</t>
        </is>
      </c>
      <c r="E84" s="10" t="n">
        <v>4</v>
      </c>
      <c r="F84" s="10" t="inlineStr">
        <is>
          <t>1:10</t>
        </is>
      </c>
      <c r="G84" s="10" t="inlineStr">
        <is>
          <t>B5 flange</t>
        </is>
      </c>
      <c r="H84" s="10" t="inlineStr">
        <is>
          <t>Solid output shaft</t>
        </is>
      </c>
      <c r="I84" s="10" t="inlineStr">
        <is>
          <t>IEC motor adaptor/input</t>
        </is>
      </c>
      <c r="J84" s="10" t="n">
        <v>1</v>
      </c>
      <c r="K84" s="11" t="inlineStr">
        <is>
          <t>İR (helical inline)</t>
        </is>
      </c>
      <c r="L84" s="12" t="inlineStr">
        <is>
          <t>İRFP 721  i=9.866  + IEC 112 B5 input (code 155)</t>
        </is>
      </c>
      <c r="M84" s="13" t="inlineStr">
        <is>
          <t>İRFM 721 / 112 M 4b</t>
        </is>
      </c>
      <c r="N84" s="11" t="n">
        <v>9.866</v>
      </c>
      <c r="O84" s="11" t="n">
        <v>141</v>
      </c>
      <c r="P84" s="11" t="n">
        <v>263</v>
      </c>
      <c r="Q84" s="13" t="inlineStr">
        <is>
          <t>Sf 1.8</t>
        </is>
      </c>
      <c r="R84" s="13" t="inlineStr">
        <is>
          <t>Gearmotor table, 4-pole motor, n1≈1400 rpm</t>
        </is>
      </c>
      <c r="S84" s="13" t="inlineStr">
        <is>
          <t>Solid output shaft, B5 output flange</t>
        </is>
      </c>
      <c r="T84" s="13" t="inlineStr">
        <is>
          <t>IEC 112 B5 (motor 112 M 4b)</t>
        </is>
      </c>
      <c r="U84" s="13" t="inlineStr">
        <is>
          <t>IEC B5 input flange 155 (or 156 PAM with coupling); İRAFM foot+flange version available</t>
        </is>
      </c>
      <c r="V84" s="13" t="inlineStr">
        <is>
          <t>IR 2024: ratings p.83; dims p.251-254</t>
        </is>
      </c>
      <c r="W84" s="13" t="inlineStr">
        <is>
          <t>Smallest housing with Sf ≥ 1.5 at 4 kW / 1400 rpm. Ratio deviation -1.3% vs 1:10. Larger alternatives: 82 (i=9.689, Sf=4.65). Quote both reducer-only and gearmotor lines (RFQ).</t>
        </is>
      </c>
      <c r="X84" s="14" t="inlineStr">
        <is>
          <t>IRFP 721 – IEC 112 B5 / B14</t>
        </is>
      </c>
      <c r="Y84" s="15" t="inlineStr">
        <is>
          <t>p.16 (IRP series, IEC B5/B14 flanged)</t>
        </is>
      </c>
      <c r="Z84" s="15" t="inlineStr">
        <is>
          <t>YES</t>
        </is>
      </c>
      <c r="AA84" s="15" t="inlineStr">
        <is>
          <t>Gear unit with IEC input flange, solid output shaft, B5 output flange</t>
        </is>
      </c>
      <c r="AB84" s="16" t="n">
        <v>627</v>
      </c>
      <c r="AC84" s="17">
        <f>$J84*AB84</f>
        <v/>
      </c>
      <c r="AD84" s="18">
        <f>ROUND(AB84*(1-$L$2),2)</f>
        <v/>
      </c>
      <c r="AE84" s="18">
        <f>$J84*AD84</f>
        <v/>
      </c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>
        <f>SUM(AF84,AH84,AJ84,AL84,AN84)</f>
        <v/>
      </c>
      <c r="AQ84" s="17">
        <f>SUM(AG84,AI84,AK84,AM84,AO84)</f>
        <v/>
      </c>
      <c r="AR84" s="17">
        <f>$J84*AP84</f>
        <v/>
      </c>
      <c r="AS84" s="17">
        <f>$J84*AQ84</f>
        <v/>
      </c>
      <c r="AT84" s="17">
        <f>AB84+AP84</f>
        <v/>
      </c>
      <c r="AU84" s="18">
        <f>AD84+AQ84</f>
        <v/>
      </c>
      <c r="AV84" s="17">
        <f>$J84*AT84</f>
        <v/>
      </c>
      <c r="AW84" s="18">
        <f>$J84*AU84</f>
        <v/>
      </c>
      <c r="AX84" s="21" t="inlineStr">
        <is>
          <t>No separately priced options for İR in the RFQ (gearmotor alternative not priced)</t>
        </is>
      </c>
      <c r="AY84" s="22" t="n"/>
    </row>
    <row r="85">
      <c r="A85" s="10" t="inlineStr">
        <is>
          <t>GB-081</t>
        </is>
      </c>
      <c r="B85" s="10" t="inlineStr">
        <is>
          <t>Helical Inline</t>
        </is>
      </c>
      <c r="C85" s="10" t="inlineStr">
        <is>
          <t>R / Equivalent</t>
        </is>
      </c>
      <c r="D85" s="10" t="inlineStr">
        <is>
          <t>Supplier selection</t>
        </is>
      </c>
      <c r="E85" s="10" t="n">
        <v>4</v>
      </c>
      <c r="F85" s="10" t="inlineStr">
        <is>
          <t>1:20</t>
        </is>
      </c>
      <c r="G85" s="10" t="inlineStr">
        <is>
          <t>B5 flange</t>
        </is>
      </c>
      <c r="H85" s="10" t="inlineStr">
        <is>
          <t>Solid output shaft</t>
        </is>
      </c>
      <c r="I85" s="10" t="inlineStr">
        <is>
          <t>IEC motor adaptor/input</t>
        </is>
      </c>
      <c r="J85" s="10" t="n">
        <v>1</v>
      </c>
      <c r="K85" s="11" t="inlineStr">
        <is>
          <t>İR (helical inline)</t>
        </is>
      </c>
      <c r="L85" s="12" t="inlineStr">
        <is>
          <t>İRFP 73  i=20.29  + IEC 112 B5 input (code 155)</t>
        </is>
      </c>
      <c r="M85" s="13" t="inlineStr">
        <is>
          <t>İRFM 73 / 112 M 4b</t>
        </is>
      </c>
      <c r="N85" s="11" t="n">
        <v>20.29</v>
      </c>
      <c r="O85" s="11" t="n">
        <v>68</v>
      </c>
      <c r="P85" s="11" t="n">
        <v>537</v>
      </c>
      <c r="Q85" s="13" t="inlineStr">
        <is>
          <t>Sf 1.51</t>
        </is>
      </c>
      <c r="R85" s="13" t="inlineStr">
        <is>
          <t>Gearmotor table, 4-pole motor, n1≈1400 rpm</t>
        </is>
      </c>
      <c r="S85" s="13" t="inlineStr">
        <is>
          <t>Solid output shaft, B5 output flange</t>
        </is>
      </c>
      <c r="T85" s="13" t="inlineStr">
        <is>
          <t>IEC 112 B5 (motor 112 M 4b)</t>
        </is>
      </c>
      <c r="U85" s="13" t="inlineStr">
        <is>
          <t>IEC B5 input flange 155 (or 156 PAM with coupling); İRAFM foot+flange version available</t>
        </is>
      </c>
      <c r="V85" s="13" t="inlineStr">
        <is>
          <t>IR 2024: ratings p.83; dims p.271-274</t>
        </is>
      </c>
      <c r="W85" s="13" t="inlineStr">
        <is>
          <t>Smallest housing with Sf ≥ 1.5 at 4 kW / 1400 rpm. Ratio deviation +1.4% vs 1:20. Larger alternatives: 83 (i=20.26, Sf=2.75); 92 (i=20.6, Sf=4.5). Quote both reducer-only and gearmotor lines (RFQ). Sf 1.51 is at the limit; take İR 83 (Sf 2.75) if duty is heavy.</t>
        </is>
      </c>
      <c r="X85" s="14" t="inlineStr">
        <is>
          <t>IRFP 73 – IEC 112 B5 / B14</t>
        </is>
      </c>
      <c r="Y85" s="15" t="inlineStr">
        <is>
          <t>p.16 (IRP series, IEC B5/B14 flanged)</t>
        </is>
      </c>
      <c r="Z85" s="15" t="inlineStr">
        <is>
          <t>YES</t>
        </is>
      </c>
      <c r="AA85" s="15" t="inlineStr">
        <is>
          <t>Gear unit with IEC input flange, solid output shaft, B5 output flange</t>
        </is>
      </c>
      <c r="AB85" s="16" t="n">
        <v>721</v>
      </c>
      <c r="AC85" s="17">
        <f>$J85*AB85</f>
        <v/>
      </c>
      <c r="AD85" s="18">
        <f>ROUND(AB85*(1-$L$2),2)</f>
        <v/>
      </c>
      <c r="AE85" s="18">
        <f>$J85*AD85</f>
        <v/>
      </c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>
        <f>SUM(AF85,AH85,AJ85,AL85,AN85)</f>
        <v/>
      </c>
      <c r="AQ85" s="17">
        <f>SUM(AG85,AI85,AK85,AM85,AO85)</f>
        <v/>
      </c>
      <c r="AR85" s="17">
        <f>$J85*AP85</f>
        <v/>
      </c>
      <c r="AS85" s="17">
        <f>$J85*AQ85</f>
        <v/>
      </c>
      <c r="AT85" s="17">
        <f>AB85+AP85</f>
        <v/>
      </c>
      <c r="AU85" s="18">
        <f>AD85+AQ85</f>
        <v/>
      </c>
      <c r="AV85" s="17">
        <f>$J85*AT85</f>
        <v/>
      </c>
      <c r="AW85" s="18">
        <f>$J85*AU85</f>
        <v/>
      </c>
      <c r="AX85" s="21" t="inlineStr">
        <is>
          <t>No separately priced options for İR in the RFQ (gearmotor alternative not priced)</t>
        </is>
      </c>
      <c r="AY85" s="22" t="n"/>
    </row>
    <row r="86">
      <c r="A86" s="10" t="inlineStr">
        <is>
          <t>GB-082</t>
        </is>
      </c>
      <c r="B86" s="10" t="inlineStr">
        <is>
          <t>Helical Inline</t>
        </is>
      </c>
      <c r="C86" s="10" t="inlineStr">
        <is>
          <t>R / Equivalent</t>
        </is>
      </c>
      <c r="D86" s="10" t="inlineStr">
        <is>
          <t>Supplier selection</t>
        </is>
      </c>
      <c r="E86" s="10" t="n">
        <v>4</v>
      </c>
      <c r="F86" s="10" t="inlineStr">
        <is>
          <t>1:30</t>
        </is>
      </c>
      <c r="G86" s="10" t="inlineStr">
        <is>
          <t>B5 flange</t>
        </is>
      </c>
      <c r="H86" s="10" t="inlineStr">
        <is>
          <t>Solid output shaft</t>
        </is>
      </c>
      <c r="I86" s="10" t="inlineStr">
        <is>
          <t>IEC motor adaptor/input</t>
        </is>
      </c>
      <c r="J86" s="10" t="n">
        <v>1</v>
      </c>
      <c r="K86" s="11" t="inlineStr">
        <is>
          <t>İR (helical inline)</t>
        </is>
      </c>
      <c r="L86" s="12" t="inlineStr">
        <is>
          <t>İRFP 83  i=30.08  + IEC 112 B5 input (code 155)</t>
        </is>
      </c>
      <c r="M86" s="13" t="inlineStr">
        <is>
          <t>İRFM 83 / 112 M 4b</t>
        </is>
      </c>
      <c r="N86" s="11" t="n">
        <v>30.08</v>
      </c>
      <c r="O86" s="11" t="n">
        <v>46</v>
      </c>
      <c r="P86" s="11" t="n">
        <v>794</v>
      </c>
      <c r="Q86" s="13" t="inlineStr">
        <is>
          <t>Sf 1.91</t>
        </is>
      </c>
      <c r="R86" s="13" t="inlineStr">
        <is>
          <t>Gearmotor table, 4-pole motor, n1≈1400 rpm</t>
        </is>
      </c>
      <c r="S86" s="13" t="inlineStr">
        <is>
          <t>Solid output shaft, B5 output flange</t>
        </is>
      </c>
      <c r="T86" s="13" t="inlineStr">
        <is>
          <t>IEC 112 B5 (motor 112 M 4b)</t>
        </is>
      </c>
      <c r="U86" s="13" t="inlineStr">
        <is>
          <t>IEC B5 input flange 155 (or 156 PAM with coupling); İRAFM foot+flange version available</t>
        </is>
      </c>
      <c r="V86" s="13" t="inlineStr">
        <is>
          <t>IR 2024: ratings p.82; dims p.291-294</t>
        </is>
      </c>
      <c r="W86" s="13" t="inlineStr">
        <is>
          <t>Smallest housing with Sf ≥ 1.5 at 4 kW / 1400 rpm. Ratio deviation +0.3% vs 1:30. Larger alternatives: 93 (i=29.52, Sf=3.6). Quote both reducer-only and gearmotor lines (RFQ).</t>
        </is>
      </c>
      <c r="X86" s="14" t="inlineStr">
        <is>
          <t>IRFP 83 – IEC 112 B5 / B14</t>
        </is>
      </c>
      <c r="Y86" s="15" t="inlineStr">
        <is>
          <t>p.16 (IRP series, IEC B5/B14 flanged)</t>
        </is>
      </c>
      <c r="Z86" s="15" t="inlineStr">
        <is>
          <t>YES</t>
        </is>
      </c>
      <c r="AA86" s="15" t="inlineStr">
        <is>
          <t>Gear unit with IEC input flange, solid output shaft, B5 output flange</t>
        </is>
      </c>
      <c r="AB86" s="16" t="n">
        <v>1178</v>
      </c>
      <c r="AC86" s="17">
        <f>$J86*AB86</f>
        <v/>
      </c>
      <c r="AD86" s="18">
        <f>ROUND(AB86*(1-$L$2),2)</f>
        <v/>
      </c>
      <c r="AE86" s="18">
        <f>$J86*AD86</f>
        <v/>
      </c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>
        <f>SUM(AF86,AH86,AJ86,AL86,AN86)</f>
        <v/>
      </c>
      <c r="AQ86" s="17">
        <f>SUM(AG86,AI86,AK86,AM86,AO86)</f>
        <v/>
      </c>
      <c r="AR86" s="17">
        <f>$J86*AP86</f>
        <v/>
      </c>
      <c r="AS86" s="17">
        <f>$J86*AQ86</f>
        <v/>
      </c>
      <c r="AT86" s="17">
        <f>AB86+AP86</f>
        <v/>
      </c>
      <c r="AU86" s="18">
        <f>AD86+AQ86</f>
        <v/>
      </c>
      <c r="AV86" s="17">
        <f>$J86*AT86</f>
        <v/>
      </c>
      <c r="AW86" s="18">
        <f>$J86*AU86</f>
        <v/>
      </c>
      <c r="AX86" s="21" t="inlineStr">
        <is>
          <t>No separately priced options for İR in the RFQ (gearmotor alternative not priced)</t>
        </is>
      </c>
      <c r="AY86" s="22" t="n"/>
    </row>
    <row r="87">
      <c r="A87" s="10" t="inlineStr">
        <is>
          <t>GB-083</t>
        </is>
      </c>
      <c r="B87" s="10" t="inlineStr">
        <is>
          <t>Helical Inline</t>
        </is>
      </c>
      <c r="C87" s="10" t="inlineStr">
        <is>
          <t>R / Equivalent</t>
        </is>
      </c>
      <c r="D87" s="10" t="inlineStr">
        <is>
          <t>Supplier selection</t>
        </is>
      </c>
      <c r="E87" s="10" t="n">
        <v>5.5</v>
      </c>
      <c r="F87" s="10" t="inlineStr">
        <is>
          <t>1:10</t>
        </is>
      </c>
      <c r="G87" s="10" t="inlineStr">
        <is>
          <t>B5 flange</t>
        </is>
      </c>
      <c r="H87" s="10" t="inlineStr">
        <is>
          <t>Solid output shaft</t>
        </is>
      </c>
      <c r="I87" s="10" t="inlineStr">
        <is>
          <t>IEC motor adaptor/input</t>
        </is>
      </c>
      <c r="J87" s="10" t="n">
        <v>1</v>
      </c>
      <c r="K87" s="11" t="inlineStr">
        <is>
          <t>İR (helical inline)</t>
        </is>
      </c>
      <c r="L87" s="12" t="inlineStr">
        <is>
          <t>İRFP 82  i=9.689  + IEC 132 B5 input (code 155)</t>
        </is>
      </c>
      <c r="M87" s="13" t="inlineStr">
        <is>
          <t>İRFM 82 / 132 S 4a</t>
        </is>
      </c>
      <c r="N87" s="11" t="n">
        <v>9.689</v>
      </c>
      <c r="O87" s="11" t="n">
        <v>144</v>
      </c>
      <c r="P87" s="11" t="n">
        <v>354</v>
      </c>
      <c r="Q87" s="13" t="inlineStr">
        <is>
          <t>Sf 3.38</t>
        </is>
      </c>
      <c r="R87" s="13" t="inlineStr">
        <is>
          <t>Gearmotor table, 4-pole motor, n1≈1400 rpm</t>
        </is>
      </c>
      <c r="S87" s="13" t="inlineStr">
        <is>
          <t>Solid output shaft, B5 output flange</t>
        </is>
      </c>
      <c r="T87" s="13" t="inlineStr">
        <is>
          <t>IEC 132 B5 (motor 132 S 4a)</t>
        </is>
      </c>
      <c r="U87" s="13" t="inlineStr">
        <is>
          <t>IEC B5 input flange 155 (or 156 PAM with coupling); İRAFM foot+flange version available</t>
        </is>
      </c>
      <c r="V87" s="13" t="inlineStr">
        <is>
          <t>IR 2024: ratings p.86; dims p.291-294</t>
        </is>
      </c>
      <c r="W87" s="13" t="inlineStr">
        <is>
          <t>Smallest housing with Sf ≥ 1.5 at 5.5 kW / 1400 rpm. Ratio deviation -3.1% vs 1:10. Quote both reducer-only and gearmotor lines (RFQ).</t>
        </is>
      </c>
      <c r="X87" s="14" t="inlineStr">
        <is>
          <t>IRFP 82 – IEC 132 B5 / B14</t>
        </is>
      </c>
      <c r="Y87" s="15" t="inlineStr">
        <is>
          <t>p.16 (IRP series, IEC B5/B14 flanged)</t>
        </is>
      </c>
      <c r="Z87" s="15" t="inlineStr">
        <is>
          <t>YES</t>
        </is>
      </c>
      <c r="AA87" s="15" t="inlineStr">
        <is>
          <t>Gear unit with IEC input flange, solid output shaft, B5 output flange</t>
        </is>
      </c>
      <c r="AB87" s="16" t="n">
        <v>1168</v>
      </c>
      <c r="AC87" s="17">
        <f>$J87*AB87</f>
        <v/>
      </c>
      <c r="AD87" s="18">
        <f>ROUND(AB87*(1-$L$2),2)</f>
        <v/>
      </c>
      <c r="AE87" s="18">
        <f>$J87*AD87</f>
        <v/>
      </c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>
        <f>SUM(AF87,AH87,AJ87,AL87,AN87)</f>
        <v/>
      </c>
      <c r="AQ87" s="17">
        <f>SUM(AG87,AI87,AK87,AM87,AO87)</f>
        <v/>
      </c>
      <c r="AR87" s="17">
        <f>$J87*AP87</f>
        <v/>
      </c>
      <c r="AS87" s="17">
        <f>$J87*AQ87</f>
        <v/>
      </c>
      <c r="AT87" s="17">
        <f>AB87+AP87</f>
        <v/>
      </c>
      <c r="AU87" s="18">
        <f>AD87+AQ87</f>
        <v/>
      </c>
      <c r="AV87" s="17">
        <f>$J87*AT87</f>
        <v/>
      </c>
      <c r="AW87" s="18">
        <f>$J87*AU87</f>
        <v/>
      </c>
      <c r="AX87" s="21" t="inlineStr">
        <is>
          <t>No separately priced options for İR in the RFQ (gearmotor alternative not priced)</t>
        </is>
      </c>
      <c r="AY87" s="22" t="n"/>
    </row>
    <row r="88">
      <c r="A88" s="10" t="inlineStr">
        <is>
          <t>GB-084</t>
        </is>
      </c>
      <c r="B88" s="10" t="inlineStr">
        <is>
          <t>Helical Inline</t>
        </is>
      </c>
      <c r="C88" s="10" t="inlineStr">
        <is>
          <t>R / Equivalent</t>
        </is>
      </c>
      <c r="D88" s="10" t="inlineStr">
        <is>
          <t>Supplier selection</t>
        </is>
      </c>
      <c r="E88" s="10" t="n">
        <v>5.5</v>
      </c>
      <c r="F88" s="10" t="inlineStr">
        <is>
          <t>1:20</t>
        </is>
      </c>
      <c r="G88" s="10" t="inlineStr">
        <is>
          <t>B5 flange</t>
        </is>
      </c>
      <c r="H88" s="10" t="inlineStr">
        <is>
          <t>Solid output shaft</t>
        </is>
      </c>
      <c r="I88" s="10" t="inlineStr">
        <is>
          <t>IEC motor adaptor/input</t>
        </is>
      </c>
      <c r="J88" s="10" t="n">
        <v>1</v>
      </c>
      <c r="K88" s="11" t="inlineStr">
        <is>
          <t>İR (helical inline)</t>
        </is>
      </c>
      <c r="L88" s="12" t="inlineStr">
        <is>
          <t>İRFP 83  i=20.26  + IEC 132 B5 input (code 155)</t>
        </is>
      </c>
      <c r="M88" s="13" t="inlineStr">
        <is>
          <t>İRFM 83 / 132 S 4a</t>
        </is>
      </c>
      <c r="N88" s="11" t="n">
        <v>20.26</v>
      </c>
      <c r="O88" s="11" t="n">
        <v>69</v>
      </c>
      <c r="P88" s="11" t="n">
        <v>727</v>
      </c>
      <c r="Q88" s="13" t="inlineStr">
        <is>
          <t>Sf 2.0</t>
        </is>
      </c>
      <c r="R88" s="13" t="inlineStr">
        <is>
          <t>Gearmotor table, 4-pole motor, n1≈1400 rpm</t>
        </is>
      </c>
      <c r="S88" s="13" t="inlineStr">
        <is>
          <t>Solid output shaft, B5 output flange</t>
        </is>
      </c>
      <c r="T88" s="13" t="inlineStr">
        <is>
          <t>IEC 132 B5 (motor 132 S 4a)</t>
        </is>
      </c>
      <c r="U88" s="13" t="inlineStr">
        <is>
          <t>IEC B5 input flange 155 (or 156 PAM with coupling); İRAFM foot+flange version available</t>
        </is>
      </c>
      <c r="V88" s="13" t="inlineStr">
        <is>
          <t>IR 2024: ratings p.86; dims p.291-294</t>
        </is>
      </c>
      <c r="W88" s="13" t="inlineStr">
        <is>
          <t>Smallest housing with Sf ≥ 1.5 at 5.5 kW / 1400 rpm. Ratio deviation +1.3% vs 1:20. Larger alternatives: 92 (i=20.6, Sf=3.27); 93 (i=20.09, Sf=3.8). Quote both reducer-only and gearmotor lines (RFQ).</t>
        </is>
      </c>
      <c r="X88" s="14" t="inlineStr">
        <is>
          <t>IRFP 83 – IEC 132 B5 / B14</t>
        </is>
      </c>
      <c r="Y88" s="15" t="inlineStr">
        <is>
          <t>p.16 (IRP series, IEC B5/B14 flanged)</t>
        </is>
      </c>
      <c r="Z88" s="15" t="inlineStr">
        <is>
          <t>YES</t>
        </is>
      </c>
      <c r="AA88" s="15" t="inlineStr">
        <is>
          <t>Gear unit with IEC input flange, solid output shaft, B5 output flange</t>
        </is>
      </c>
      <c r="AB88" s="16" t="n">
        <v>1194</v>
      </c>
      <c r="AC88" s="17">
        <f>$J88*AB88</f>
        <v/>
      </c>
      <c r="AD88" s="18">
        <f>ROUND(AB88*(1-$L$2),2)</f>
        <v/>
      </c>
      <c r="AE88" s="18">
        <f>$J88*AD88</f>
        <v/>
      </c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>
        <f>SUM(AF88,AH88,AJ88,AL88,AN88)</f>
        <v/>
      </c>
      <c r="AQ88" s="17">
        <f>SUM(AG88,AI88,AK88,AM88,AO88)</f>
        <v/>
      </c>
      <c r="AR88" s="17">
        <f>$J88*AP88</f>
        <v/>
      </c>
      <c r="AS88" s="17">
        <f>$J88*AQ88</f>
        <v/>
      </c>
      <c r="AT88" s="17">
        <f>AB88+AP88</f>
        <v/>
      </c>
      <c r="AU88" s="18">
        <f>AD88+AQ88</f>
        <v/>
      </c>
      <c r="AV88" s="17">
        <f>$J88*AT88</f>
        <v/>
      </c>
      <c r="AW88" s="18">
        <f>$J88*AU88</f>
        <v/>
      </c>
      <c r="AX88" s="21" t="inlineStr">
        <is>
          <t>No separately priced options for İR in the RFQ (gearmotor alternative not priced)</t>
        </is>
      </c>
      <c r="AY88" s="22" t="n"/>
    </row>
    <row r="89">
      <c r="A89" s="10" t="inlineStr">
        <is>
          <t>GB-085</t>
        </is>
      </c>
      <c r="B89" s="10" t="inlineStr">
        <is>
          <t>Helical Inline</t>
        </is>
      </c>
      <c r="C89" s="10" t="inlineStr">
        <is>
          <t>R / Equivalent</t>
        </is>
      </c>
      <c r="D89" s="10" t="inlineStr">
        <is>
          <t>Supplier selection</t>
        </is>
      </c>
      <c r="E89" s="10" t="n">
        <v>5.5</v>
      </c>
      <c r="F89" s="10" t="inlineStr">
        <is>
          <t>1:30</t>
        </is>
      </c>
      <c r="G89" s="10" t="inlineStr">
        <is>
          <t>B5 flange</t>
        </is>
      </c>
      <c r="H89" s="10" t="inlineStr">
        <is>
          <t>Solid output shaft</t>
        </is>
      </c>
      <c r="I89" s="10" t="inlineStr">
        <is>
          <t>IEC motor adaptor/input</t>
        </is>
      </c>
      <c r="J89" s="10" t="n">
        <v>1</v>
      </c>
      <c r="K89" s="11" t="inlineStr">
        <is>
          <t>İR (helical inline)</t>
        </is>
      </c>
      <c r="L89" s="12" t="inlineStr">
        <is>
          <t>İRFP 93  i=29.52  + IEC 132 B5 input (code 155)</t>
        </is>
      </c>
      <c r="M89" s="13" t="inlineStr">
        <is>
          <t>İRFM 93 / 132 S 4a</t>
        </is>
      </c>
      <c r="N89" s="11" t="n">
        <v>29.52</v>
      </c>
      <c r="O89" s="11" t="n">
        <v>47</v>
      </c>
      <c r="P89" s="11" t="n">
        <v>1068</v>
      </c>
      <c r="Q89" s="13" t="inlineStr">
        <is>
          <t>Sf 2.62</t>
        </is>
      </c>
      <c r="R89" s="13" t="inlineStr">
        <is>
          <t>Gearmotor table, 4-pole motor, n1≈1400 rpm</t>
        </is>
      </c>
      <c r="S89" s="13" t="inlineStr">
        <is>
          <t>Solid output shaft, B5 output flange</t>
        </is>
      </c>
      <c r="T89" s="13" t="inlineStr">
        <is>
          <t>IEC 132 B5 (motor 132 S 4a)</t>
        </is>
      </c>
      <c r="U89" s="13" t="inlineStr">
        <is>
          <t>IEC B5 input flange 155 (or 156 PAM with coupling); İRAFM foot+flange version available</t>
        </is>
      </c>
      <c r="V89" s="13" t="inlineStr">
        <is>
          <t>IR 2024: ratings p.86; dims p.311-314</t>
        </is>
      </c>
      <c r="W89" s="13" t="inlineStr">
        <is>
          <t>Smallest housing with Sf ≥ 1.5 at 5.5 kW / 1400 rpm. Ratio deviation -1.6% vs 1:30. Quote both reducer-only and gearmotor lines (RFQ).</t>
        </is>
      </c>
      <c r="X89" s="14" t="inlineStr">
        <is>
          <t>IRFP 93 – IEC 132 B5</t>
        </is>
      </c>
      <c r="Y89" s="15" t="inlineStr">
        <is>
          <t>p.17 (IRP series, IEC B5/B14 flanged)</t>
        </is>
      </c>
      <c r="Z89" s="15" t="inlineStr">
        <is>
          <t>YES</t>
        </is>
      </c>
      <c r="AA89" s="15" t="inlineStr">
        <is>
          <t>Gear unit with IEC input flange, solid output shaft, B5 output flange</t>
        </is>
      </c>
      <c r="AB89" s="16" t="n">
        <v>1551</v>
      </c>
      <c r="AC89" s="17">
        <f>$J89*AB89</f>
        <v/>
      </c>
      <c r="AD89" s="18">
        <f>ROUND(AB89*(1-$L$2),2)</f>
        <v/>
      </c>
      <c r="AE89" s="18">
        <f>$J89*AD89</f>
        <v/>
      </c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>
        <f>SUM(AF89,AH89,AJ89,AL89,AN89)</f>
        <v/>
      </c>
      <c r="AQ89" s="17">
        <f>SUM(AG89,AI89,AK89,AM89,AO89)</f>
        <v/>
      </c>
      <c r="AR89" s="17">
        <f>$J89*AP89</f>
        <v/>
      </c>
      <c r="AS89" s="17">
        <f>$J89*AQ89</f>
        <v/>
      </c>
      <c r="AT89" s="17">
        <f>AB89+AP89</f>
        <v/>
      </c>
      <c r="AU89" s="18">
        <f>AD89+AQ89</f>
        <v/>
      </c>
      <c r="AV89" s="17">
        <f>$J89*AT89</f>
        <v/>
      </c>
      <c r="AW89" s="18">
        <f>$J89*AU89</f>
        <v/>
      </c>
      <c r="AX89" s="21" t="inlineStr">
        <is>
          <t>No separately priced options for İR in the RFQ (gearmotor alternative not priced)</t>
        </is>
      </c>
      <c r="AY89" s="22" t="n"/>
    </row>
    <row r="90">
      <c r="A90" s="10" t="inlineStr">
        <is>
          <t>GB-086</t>
        </is>
      </c>
      <c r="B90" s="10" t="inlineStr">
        <is>
          <t>Helical Inline</t>
        </is>
      </c>
      <c r="C90" s="10" t="inlineStr">
        <is>
          <t>R / Equivalent</t>
        </is>
      </c>
      <c r="D90" s="10" t="inlineStr">
        <is>
          <t>Supplier selection</t>
        </is>
      </c>
      <c r="E90" s="10" t="n">
        <v>7.5</v>
      </c>
      <c r="F90" s="10" t="inlineStr">
        <is>
          <t>1:10</t>
        </is>
      </c>
      <c r="G90" s="10" t="inlineStr">
        <is>
          <t>B5 flange</t>
        </is>
      </c>
      <c r="H90" s="10" t="inlineStr">
        <is>
          <t>Solid output shaft</t>
        </is>
      </c>
      <c r="I90" s="10" t="inlineStr">
        <is>
          <t>IEC motor adaptor/input</t>
        </is>
      </c>
      <c r="J90" s="10" t="n">
        <v>1</v>
      </c>
      <c r="K90" s="11" t="inlineStr">
        <is>
          <t>İR (helical inline)</t>
        </is>
      </c>
      <c r="L90" s="12" t="inlineStr">
        <is>
          <t>İRFP 82  i=9.689  + IEC 132 B5 input (code 155)</t>
        </is>
      </c>
      <c r="M90" s="13" t="inlineStr">
        <is>
          <t>İRFM 82 / 132 M 4a</t>
        </is>
      </c>
      <c r="N90" s="11" t="n">
        <v>9.689</v>
      </c>
      <c r="O90" s="11" t="n">
        <v>144</v>
      </c>
      <c r="P90" s="11" t="n">
        <v>483</v>
      </c>
      <c r="Q90" s="13" t="inlineStr">
        <is>
          <t>Sf 2.48</t>
        </is>
      </c>
      <c r="R90" s="13" t="inlineStr">
        <is>
          <t>Gearmotor table, 4-pole motor, n1≈1400 rpm</t>
        </is>
      </c>
      <c r="S90" s="13" t="inlineStr">
        <is>
          <t>Solid output shaft, B5 output flange</t>
        </is>
      </c>
      <c r="T90" s="13" t="inlineStr">
        <is>
          <t>IEC 132 B5 (motor 132 M 4a)</t>
        </is>
      </c>
      <c r="U90" s="13" t="inlineStr">
        <is>
          <t>IEC B5 input flange 155 (or 156 PAM with coupling); İRAFM foot+flange version available</t>
        </is>
      </c>
      <c r="V90" s="13" t="inlineStr">
        <is>
          <t>IR 2024: ratings p.90; dims p.291-294</t>
        </is>
      </c>
      <c r="W90" s="13" t="inlineStr">
        <is>
          <t>Smallest housing with Sf ≥ 1.5 at 7.5 kW / 1400 rpm. Ratio deviation -3.1% vs 1:10. Larger alternatives: 92 (i=10.05, Sf=4.4). Quote both reducer-only and gearmotor lines (RFQ).</t>
        </is>
      </c>
      <c r="X90" s="14" t="inlineStr">
        <is>
          <t>IRFP 82 – IEC 132 B5 / B14</t>
        </is>
      </c>
      <c r="Y90" s="15" t="inlineStr">
        <is>
          <t>p.16 (IRP series, IEC B5/B14 flanged)</t>
        </is>
      </c>
      <c r="Z90" s="15" t="inlineStr">
        <is>
          <t>YES</t>
        </is>
      </c>
      <c r="AA90" s="15" t="inlineStr">
        <is>
          <t>Gear unit with IEC input flange, solid output shaft, B5 output flange</t>
        </is>
      </c>
      <c r="AB90" s="16" t="n">
        <v>1168</v>
      </c>
      <c r="AC90" s="17">
        <f>$J90*AB90</f>
        <v/>
      </c>
      <c r="AD90" s="18">
        <f>ROUND(AB90*(1-$L$2),2)</f>
        <v/>
      </c>
      <c r="AE90" s="18">
        <f>$J90*AD90</f>
        <v/>
      </c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>
        <f>SUM(AF90,AH90,AJ90,AL90,AN90)</f>
        <v/>
      </c>
      <c r="AQ90" s="17">
        <f>SUM(AG90,AI90,AK90,AM90,AO90)</f>
        <v/>
      </c>
      <c r="AR90" s="17">
        <f>$J90*AP90</f>
        <v/>
      </c>
      <c r="AS90" s="17">
        <f>$J90*AQ90</f>
        <v/>
      </c>
      <c r="AT90" s="17">
        <f>AB90+AP90</f>
        <v/>
      </c>
      <c r="AU90" s="18">
        <f>AD90+AQ90</f>
        <v/>
      </c>
      <c r="AV90" s="17">
        <f>$J90*AT90</f>
        <v/>
      </c>
      <c r="AW90" s="18">
        <f>$J90*AU90</f>
        <v/>
      </c>
      <c r="AX90" s="21" t="inlineStr">
        <is>
          <t>No separately priced options for İR in the RFQ (gearmotor alternative not priced)</t>
        </is>
      </c>
      <c r="AY90" s="22" t="n"/>
    </row>
    <row r="91">
      <c r="A91" s="10" t="inlineStr">
        <is>
          <t>GB-087</t>
        </is>
      </c>
      <c r="B91" s="10" t="inlineStr">
        <is>
          <t>Helical Inline</t>
        </is>
      </c>
      <c r="C91" s="10" t="inlineStr">
        <is>
          <t>R / Equivalent</t>
        </is>
      </c>
      <c r="D91" s="10" t="inlineStr">
        <is>
          <t>Supplier selection</t>
        </is>
      </c>
      <c r="E91" s="10" t="n">
        <v>7.5</v>
      </c>
      <c r="F91" s="10" t="inlineStr">
        <is>
          <t>1:20</t>
        </is>
      </c>
      <c r="G91" s="10" t="inlineStr">
        <is>
          <t>B5 flange</t>
        </is>
      </c>
      <c r="H91" s="10" t="inlineStr">
        <is>
          <t>Solid output shaft</t>
        </is>
      </c>
      <c r="I91" s="10" t="inlineStr">
        <is>
          <t>IEC motor adaptor/input</t>
        </is>
      </c>
      <c r="J91" s="10" t="n">
        <v>1</v>
      </c>
      <c r="K91" s="11" t="inlineStr">
        <is>
          <t>İR (helical inline)</t>
        </is>
      </c>
      <c r="L91" s="12" t="inlineStr">
        <is>
          <t>İRFP 92  i=20.6  + IEC 132 B5 input (code 155)</t>
        </is>
      </c>
      <c r="M91" s="13" t="inlineStr">
        <is>
          <t>İRFM 92 / 132 M 4a</t>
        </is>
      </c>
      <c r="N91" s="11" t="n">
        <v>20.6</v>
      </c>
      <c r="O91" s="11" t="n">
        <v>67</v>
      </c>
      <c r="P91" s="11" t="n">
        <v>1037</v>
      </c>
      <c r="Q91" s="13" t="inlineStr">
        <is>
          <t>Sf 2.4</t>
        </is>
      </c>
      <c r="R91" s="13" t="inlineStr">
        <is>
          <t>Gearmotor table, 4-pole motor, n1≈1400 rpm</t>
        </is>
      </c>
      <c r="S91" s="13" t="inlineStr">
        <is>
          <t>Solid output shaft, B5 output flange</t>
        </is>
      </c>
      <c r="T91" s="13" t="inlineStr">
        <is>
          <t>IEC 132 B5 (motor 132 M 4a)</t>
        </is>
      </c>
      <c r="U91" s="13" t="inlineStr">
        <is>
          <t>IEC B5 input flange 155 (or 156 PAM with coupling); İRAFM foot+flange version available</t>
        </is>
      </c>
      <c r="V91" s="13" t="inlineStr">
        <is>
          <t>IR 2024: ratings p.90; dims p.311-314</t>
        </is>
      </c>
      <c r="W91" s="13" t="inlineStr">
        <is>
          <t>Smallest housing with Sf ≥ 1.5 at 7.5 kW / 1400 rpm. Ratio deviation +3.0% vs 1:20. Larger alternatives: 93 (i=20.09, Sf=2.79). Quote both reducer-only and gearmotor lines (RFQ).</t>
        </is>
      </c>
      <c r="X91" s="14" t="inlineStr">
        <is>
          <t>IRFP 92 – IEC 132 B5</t>
        </is>
      </c>
      <c r="Y91" s="15" t="inlineStr">
        <is>
          <t>p.17 (IRP series, IEC B5/B14 flanged)</t>
        </is>
      </c>
      <c r="Z91" s="15" t="inlineStr">
        <is>
          <t>YES</t>
        </is>
      </c>
      <c r="AA91" s="15" t="inlineStr">
        <is>
          <t>Gear unit with IEC input flange, solid output shaft, B5 output flange</t>
        </is>
      </c>
      <c r="AB91" s="16" t="n">
        <v>1502</v>
      </c>
      <c r="AC91" s="17">
        <f>$J91*AB91</f>
        <v/>
      </c>
      <c r="AD91" s="18">
        <f>ROUND(AB91*(1-$L$2),2)</f>
        <v/>
      </c>
      <c r="AE91" s="18">
        <f>$J91*AD91</f>
        <v/>
      </c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>
        <f>SUM(AF91,AH91,AJ91,AL91,AN91)</f>
        <v/>
      </c>
      <c r="AQ91" s="17">
        <f>SUM(AG91,AI91,AK91,AM91,AO91)</f>
        <v/>
      </c>
      <c r="AR91" s="17">
        <f>$J91*AP91</f>
        <v/>
      </c>
      <c r="AS91" s="17">
        <f>$J91*AQ91</f>
        <v/>
      </c>
      <c r="AT91" s="17">
        <f>AB91+AP91</f>
        <v/>
      </c>
      <c r="AU91" s="18">
        <f>AD91+AQ91</f>
        <v/>
      </c>
      <c r="AV91" s="17">
        <f>$J91*AT91</f>
        <v/>
      </c>
      <c r="AW91" s="18">
        <f>$J91*AU91</f>
        <v/>
      </c>
      <c r="AX91" s="21" t="inlineStr">
        <is>
          <t>No separately priced options for İR in the RFQ (gearmotor alternative not priced)</t>
        </is>
      </c>
      <c r="AY91" s="22" t="n"/>
    </row>
    <row r="92">
      <c r="A92" s="10" t="inlineStr">
        <is>
          <t>GB-088</t>
        </is>
      </c>
      <c r="B92" s="10" t="inlineStr">
        <is>
          <t>Helical Inline</t>
        </is>
      </c>
      <c r="C92" s="10" t="inlineStr">
        <is>
          <t>R / Equivalent</t>
        </is>
      </c>
      <c r="D92" s="10" t="inlineStr">
        <is>
          <t>Supplier selection</t>
        </is>
      </c>
      <c r="E92" s="10" t="n">
        <v>11</v>
      </c>
      <c r="F92" s="10" t="inlineStr">
        <is>
          <t>1:10</t>
        </is>
      </c>
      <c r="G92" s="10" t="inlineStr">
        <is>
          <t>B5 flange</t>
        </is>
      </c>
      <c r="H92" s="10" t="inlineStr">
        <is>
          <t>Solid output shaft</t>
        </is>
      </c>
      <c r="I92" s="10" t="inlineStr">
        <is>
          <t>IEC motor adaptor/input</t>
        </is>
      </c>
      <c r="J92" s="10" t="n">
        <v>1</v>
      </c>
      <c r="K92" s="11" t="inlineStr">
        <is>
          <t>İR (helical inline)</t>
        </is>
      </c>
      <c r="L92" s="12" t="inlineStr">
        <is>
          <t>İRFP 82  i=9.689  + IEC 160 B5 input (code 155)</t>
        </is>
      </c>
      <c r="M92" s="13" t="inlineStr">
        <is>
          <t>İRFM 82 / 160 M 4a</t>
        </is>
      </c>
      <c r="N92" s="11" t="n">
        <v>9.689</v>
      </c>
      <c r="O92" s="11" t="n">
        <v>144</v>
      </c>
      <c r="P92" s="11" t="n">
        <v>708</v>
      </c>
      <c r="Q92" s="13" t="inlineStr">
        <is>
          <t>Sf 1.69</t>
        </is>
      </c>
      <c r="R92" s="13" t="inlineStr">
        <is>
          <t>Gearmotor table, 4-pole motor, n1≈1400 rpm</t>
        </is>
      </c>
      <c r="S92" s="13" t="inlineStr">
        <is>
          <t>Solid output shaft, B5 output flange</t>
        </is>
      </c>
      <c r="T92" s="13" t="inlineStr">
        <is>
          <t>IEC 160 B5 (motor 160 M 4a)</t>
        </is>
      </c>
      <c r="U92" s="13" t="inlineStr">
        <is>
          <t>IEC B5 input flange 155 (or 156 PAM with coupling); İRAFM foot+flange version available</t>
        </is>
      </c>
      <c r="V92" s="13" t="inlineStr">
        <is>
          <t>IR 2024: ratings p.93; dims p.291-294</t>
        </is>
      </c>
      <c r="W92" s="13" t="inlineStr">
        <is>
          <t>Smallest housing with Sf ≥ 1.5 at 11 kW / 1400 rpm. Ratio deviation -3.1% vs 1:10. Larger alternatives: 92 (i=10.05, Sf=3.0). Quote both reducer-only and gearmotor lines (RFQ).</t>
        </is>
      </c>
      <c r="X92" s="14" t="inlineStr">
        <is>
          <t>IRFP 82 – IEC 160 B5 / B14</t>
        </is>
      </c>
      <c r="Y92" s="15" t="inlineStr">
        <is>
          <t>p.16 (IRP series, IEC B5/B14 flanged)</t>
        </is>
      </c>
      <c r="Z92" s="15" t="inlineStr">
        <is>
          <t>YES</t>
        </is>
      </c>
      <c r="AA92" s="15" t="inlineStr">
        <is>
          <t>Gear unit with IEC input flange, solid output shaft, B5 output flange</t>
        </is>
      </c>
      <c r="AB92" s="16" t="n">
        <v>1227</v>
      </c>
      <c r="AC92" s="17">
        <f>$J92*AB92</f>
        <v/>
      </c>
      <c r="AD92" s="18">
        <f>ROUND(AB92*(1-$L$2),2)</f>
        <v/>
      </c>
      <c r="AE92" s="18">
        <f>$J92*AD92</f>
        <v/>
      </c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>
        <f>SUM(AF92,AH92,AJ92,AL92,AN92)</f>
        <v/>
      </c>
      <c r="AQ92" s="17">
        <f>SUM(AG92,AI92,AK92,AM92,AO92)</f>
        <v/>
      </c>
      <c r="AR92" s="17">
        <f>$J92*AP92</f>
        <v/>
      </c>
      <c r="AS92" s="17">
        <f>$J92*AQ92</f>
        <v/>
      </c>
      <c r="AT92" s="17">
        <f>AB92+AP92</f>
        <v/>
      </c>
      <c r="AU92" s="18">
        <f>AD92+AQ92</f>
        <v/>
      </c>
      <c r="AV92" s="17">
        <f>$J92*AT92</f>
        <v/>
      </c>
      <c r="AW92" s="18">
        <f>$J92*AU92</f>
        <v/>
      </c>
      <c r="AX92" s="21" t="inlineStr">
        <is>
          <t>No separately priced options for İR in the RFQ (gearmotor alternative not priced)</t>
        </is>
      </c>
      <c r="AY92" s="22" t="n"/>
    </row>
    <row r="93">
      <c r="A93" s="10" t="inlineStr">
        <is>
          <t>GB-089</t>
        </is>
      </c>
      <c r="B93" s="10" t="inlineStr">
        <is>
          <t>Helical Inline</t>
        </is>
      </c>
      <c r="C93" s="10" t="inlineStr">
        <is>
          <t>R / Equivalent</t>
        </is>
      </c>
      <c r="D93" s="10" t="inlineStr">
        <is>
          <t>Supplier selection</t>
        </is>
      </c>
      <c r="E93" s="10" t="n">
        <v>11</v>
      </c>
      <c r="F93" s="10" t="inlineStr">
        <is>
          <t>1:20</t>
        </is>
      </c>
      <c r="G93" s="10" t="inlineStr">
        <is>
          <t>B5 flange</t>
        </is>
      </c>
      <c r="H93" s="10" t="inlineStr">
        <is>
          <t>Solid output shaft</t>
        </is>
      </c>
      <c r="I93" s="10" t="inlineStr">
        <is>
          <t>IEC motor adaptor/input</t>
        </is>
      </c>
      <c r="J93" s="10" t="n">
        <v>1</v>
      </c>
      <c r="K93" s="11" t="inlineStr">
        <is>
          <t>İR (helical inline)</t>
        </is>
      </c>
      <c r="L93" s="12" t="inlineStr">
        <is>
          <t>İRFP 92  i=20.6  + IEC 160 B5 input (code 155)</t>
        </is>
      </c>
      <c r="M93" s="13" t="inlineStr">
        <is>
          <t>İRFM 92 / 160 M 4a</t>
        </is>
      </c>
      <c r="N93" s="11" t="n">
        <v>20.6</v>
      </c>
      <c r="O93" s="11" t="n">
        <v>67</v>
      </c>
      <c r="P93" s="11" t="n">
        <v>1521</v>
      </c>
      <c r="Q93" s="13" t="inlineStr">
        <is>
          <t>Sf 1.64</t>
        </is>
      </c>
      <c r="R93" s="13" t="inlineStr">
        <is>
          <t>Gearmotor table, 4-pole motor, n1≈1400 rpm</t>
        </is>
      </c>
      <c r="S93" s="13" t="inlineStr">
        <is>
          <t>Solid output shaft, B5 output flange</t>
        </is>
      </c>
      <c r="T93" s="13" t="inlineStr">
        <is>
          <t>IEC 160 B5 (motor 160 M 4a)</t>
        </is>
      </c>
      <c r="U93" s="13" t="inlineStr">
        <is>
          <t>IEC B5 input flange 155 (or 156 PAM with coupling); İRAFM foot+flange version available</t>
        </is>
      </c>
      <c r="V93" s="13" t="inlineStr">
        <is>
          <t>IR 2024: ratings p.93; dims p.311-314</t>
        </is>
      </c>
      <c r="W93" s="13" t="inlineStr">
        <is>
          <t>Smallest housing with Sf ≥ 1.5 at 11 kW / 1400 rpm. Ratio deviation +3.0% vs 1:20. Larger alternatives: 93 (i=20.09, Sf=1.9); 103 (i=20.31, Sf=2.86). Quote both reducer-only and gearmotor lines (RFQ).</t>
        </is>
      </c>
      <c r="X93" s="14" t="inlineStr">
        <is>
          <t>IRFP 92 – IEC 160 B5 / B14</t>
        </is>
      </c>
      <c r="Y93" s="15" t="inlineStr">
        <is>
          <t>p.17 (IRP series, IEC B5/B14 flanged)</t>
        </is>
      </c>
      <c r="Z93" s="15" t="inlineStr">
        <is>
          <t>YES</t>
        </is>
      </c>
      <c r="AA93" s="15" t="inlineStr">
        <is>
          <t>Gear unit with IEC input flange, solid output shaft, B5 output flange</t>
        </is>
      </c>
      <c r="AB93" s="16" t="n">
        <v>1597</v>
      </c>
      <c r="AC93" s="17">
        <f>$J93*AB93</f>
        <v/>
      </c>
      <c r="AD93" s="18">
        <f>ROUND(AB93*(1-$L$2),2)</f>
        <v/>
      </c>
      <c r="AE93" s="18">
        <f>$J93*AD93</f>
        <v/>
      </c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>
        <f>SUM(AF93,AH93,AJ93,AL93,AN93)</f>
        <v/>
      </c>
      <c r="AQ93" s="17">
        <f>SUM(AG93,AI93,AK93,AM93,AO93)</f>
        <v/>
      </c>
      <c r="AR93" s="17">
        <f>$J93*AP93</f>
        <v/>
      </c>
      <c r="AS93" s="17">
        <f>$J93*AQ93</f>
        <v/>
      </c>
      <c r="AT93" s="17">
        <f>AB93+AP93</f>
        <v/>
      </c>
      <c r="AU93" s="18">
        <f>AD93+AQ93</f>
        <v/>
      </c>
      <c r="AV93" s="17">
        <f>$J93*AT93</f>
        <v/>
      </c>
      <c r="AW93" s="18">
        <f>$J93*AU93</f>
        <v/>
      </c>
      <c r="AX93" s="21" t="inlineStr">
        <is>
          <t>No separately priced options for İR in the RFQ (gearmotor alternative not priced)</t>
        </is>
      </c>
      <c r="AY93" s="22" t="n"/>
    </row>
    <row r="94">
      <c r="A94" s="10" t="inlineStr">
        <is>
          <t>GB-090</t>
        </is>
      </c>
      <c r="B94" s="10" t="inlineStr">
        <is>
          <t>Helical Inline</t>
        </is>
      </c>
      <c r="C94" s="10" t="inlineStr">
        <is>
          <t>R / Equivalent</t>
        </is>
      </c>
      <c r="D94" s="10" t="inlineStr">
        <is>
          <t>Supplier selection</t>
        </is>
      </c>
      <c r="E94" s="10" t="n">
        <v>15</v>
      </c>
      <c r="F94" s="10" t="inlineStr">
        <is>
          <t>1:20</t>
        </is>
      </c>
      <c r="G94" s="10" t="inlineStr">
        <is>
          <t>B5 flange</t>
        </is>
      </c>
      <c r="H94" s="10" t="inlineStr">
        <is>
          <t>Solid output shaft</t>
        </is>
      </c>
      <c r="I94" s="10" t="inlineStr">
        <is>
          <t>IEC motor adaptor/input</t>
        </is>
      </c>
      <c r="J94" s="10" t="n">
        <v>1</v>
      </c>
      <c r="K94" s="11" t="inlineStr">
        <is>
          <t>İR (helical inline)</t>
        </is>
      </c>
      <c r="L94" s="12" t="inlineStr">
        <is>
          <t>İRFP 103  i=20.31  + IEC 160 B5 input (code 155)</t>
        </is>
      </c>
      <c r="M94" s="13" t="inlineStr">
        <is>
          <t>İRFM 103 / 160 L 4a</t>
        </is>
      </c>
      <c r="N94" s="11" t="n">
        <v>20.31</v>
      </c>
      <c r="O94" s="11" t="n">
        <v>68</v>
      </c>
      <c r="P94" s="11" t="n">
        <v>2013</v>
      </c>
      <c r="Q94" s="13" t="inlineStr">
        <is>
          <t>Sf 2.1</t>
        </is>
      </c>
      <c r="R94" s="13" t="inlineStr">
        <is>
          <t>Gearmotor table, 4-pole motor, n1≈1400 rpm</t>
        </is>
      </c>
      <c r="S94" s="13" t="inlineStr">
        <is>
          <t>Solid output shaft, B5 output flange</t>
        </is>
      </c>
      <c r="T94" s="13" t="inlineStr">
        <is>
          <t>IEC 160 B5 (motor 160 L 4a)</t>
        </is>
      </c>
      <c r="U94" s="13" t="inlineStr">
        <is>
          <t>IEC B5 input flange 155 (or 156 PAM with coupling); İRAFM foot+flange version available</t>
        </is>
      </c>
      <c r="V94" s="13" t="inlineStr">
        <is>
          <t>IR 2024: ratings p.95; dims p.331-334</t>
        </is>
      </c>
      <c r="W94" s="13" t="inlineStr">
        <is>
          <t>Smallest housing with Sf ≥ 1.5 at 15 kW / 1400 rpm. Ratio deviation +1.5% vs 1:20. Larger alternatives: 122 (i=19.85, Sf=4.0). Quote both reducer-only and gearmotor lines (RFQ).</t>
        </is>
      </c>
      <c r="X94" s="14" t="inlineStr">
        <is>
          <t>IRFP 103 – IEC 160 B5 / B14</t>
        </is>
      </c>
      <c r="Y94" s="15" t="inlineStr">
        <is>
          <t>p.17 (IRP series, IEC B5/B14 flanged)</t>
        </is>
      </c>
      <c r="Z94" s="15" t="inlineStr">
        <is>
          <t>YES</t>
        </is>
      </c>
      <c r="AA94" s="15" t="inlineStr">
        <is>
          <t>Gear unit with IEC input flange, solid output shaft, B5 output flange</t>
        </is>
      </c>
      <c r="AB94" s="16" t="n">
        <v>2225</v>
      </c>
      <c r="AC94" s="17">
        <f>$J94*AB94</f>
        <v/>
      </c>
      <c r="AD94" s="18">
        <f>ROUND(AB94*(1-$L$2),2)</f>
        <v/>
      </c>
      <c r="AE94" s="18">
        <f>$J94*AD94</f>
        <v/>
      </c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>
        <f>SUM(AF94,AH94,AJ94,AL94,AN94)</f>
        <v/>
      </c>
      <c r="AQ94" s="17">
        <f>SUM(AG94,AI94,AK94,AM94,AO94)</f>
        <v/>
      </c>
      <c r="AR94" s="17">
        <f>$J94*AP94</f>
        <v/>
      </c>
      <c r="AS94" s="17">
        <f>$J94*AQ94</f>
        <v/>
      </c>
      <c r="AT94" s="17">
        <f>AB94+AP94</f>
        <v/>
      </c>
      <c r="AU94" s="18">
        <f>AD94+AQ94</f>
        <v/>
      </c>
      <c r="AV94" s="17">
        <f>$J94*AT94</f>
        <v/>
      </c>
      <c r="AW94" s="18">
        <f>$J94*AU94</f>
        <v/>
      </c>
      <c r="AX94" s="21" t="inlineStr">
        <is>
          <t>No separately priced options for İR in the RFQ (gearmotor alternative not priced)</t>
        </is>
      </c>
      <c r="AY94" s="22" t="n"/>
    </row>
    <row r="95">
      <c r="A95" s="10" t="inlineStr">
        <is>
          <t>GB-091</t>
        </is>
      </c>
      <c r="B95" s="10" t="inlineStr">
        <is>
          <t>Helical Bevel</t>
        </is>
      </c>
      <c r="C95" s="10" t="inlineStr">
        <is>
          <t>K / Equivalent</t>
        </is>
      </c>
      <c r="D95" s="10" t="inlineStr">
        <is>
          <t>Supplier selection</t>
        </is>
      </c>
      <c r="E95" s="10" t="n">
        <v>0.75</v>
      </c>
      <c r="F95" s="10" t="inlineStr">
        <is>
          <t>1:10</t>
        </is>
      </c>
      <c r="G95" s="10" t="inlineStr">
        <is>
          <t>Torque-arm / universal</t>
        </is>
      </c>
      <c r="H95" s="10" t="inlineStr">
        <is>
          <t>Hollow shaft, keyed</t>
        </is>
      </c>
      <c r="I95" s="10" t="inlineStr">
        <is>
          <t>IEC motor adaptor/input</t>
        </is>
      </c>
      <c r="J95" s="10" t="n">
        <v>1</v>
      </c>
      <c r="K95" s="11" t="inlineStr">
        <is>
          <t>İRK (helical bevel)</t>
        </is>
      </c>
      <c r="L95" s="12" t="inlineStr">
        <is>
          <t>İRKP 63-TR  i=10.44  + IEC 80 B5</t>
        </is>
      </c>
      <c r="M95" s="13" t="inlineStr">
        <is>
          <t>İRKM 63 / 80 M 4b -TR</t>
        </is>
      </c>
      <c r="N95" s="11" t="n">
        <v>10.44</v>
      </c>
      <c r="O95" s="11" t="n">
        <v>134</v>
      </c>
      <c r="P95" s="11" t="n">
        <v>51</v>
      </c>
      <c r="Q95" s="13" t="inlineStr">
        <is>
          <t>Sf 5.4</t>
        </is>
      </c>
      <c r="R95" s="13" t="inlineStr">
        <is>
          <t>Gearmotor table, 4-pole motor, n1≈1400 rpm</t>
        </is>
      </c>
      <c r="S95" s="13" t="inlineStr">
        <is>
          <t>Hollow shaft, keyed</t>
        </is>
      </c>
      <c r="T95" s="13" t="inlineStr">
        <is>
          <t>IEC 80 B5 (motor 80 M 4b)</t>
        </is>
      </c>
      <c r="U95" s="13" t="inlineStr">
        <is>
          <t>TR/TL torque arm (include); SDL/SDR shrink disc; H retaining washer; OC output cover</t>
        </is>
      </c>
      <c r="V95" s="13" t="inlineStr">
        <is>
          <t>IRK 2024: ratings p.61; dims p.143-144</t>
        </is>
      </c>
      <c r="W95" s="13" t="inlineStr">
        <is>
          <t>Smallest housing with Sf ≥ 1.5 at 0.75 kW / 1400 rpm. Ratio deviation +4.4% vs 1:10.</t>
        </is>
      </c>
      <c r="X95" s="14" t="inlineStr">
        <is>
          <t>IRKP 63 – IEC 80 B5 / B14 + torque arm</t>
        </is>
      </c>
      <c r="Y95" s="15" t="inlineStr">
        <is>
          <t>p.31 (IRKP series) + p.30 (IRK options)</t>
        </is>
      </c>
      <c r="Z95" s="15" t="inlineStr">
        <is>
          <t>YES</t>
        </is>
      </c>
      <c r="AA95" s="15" t="inlineStr">
        <is>
          <t>IRKP gear unit €493.00 (hollow shaft) + torque arm €39.00</t>
        </is>
      </c>
      <c r="AB95" s="16" t="n">
        <v>532</v>
      </c>
      <c r="AC95" s="17">
        <f>$J95*AB95</f>
        <v/>
      </c>
      <c r="AD95" s="18">
        <f>ROUND(AB95*(1-$L$2),2)</f>
        <v/>
      </c>
      <c r="AE95" s="18">
        <f>$J95*AD95</f>
        <v/>
      </c>
      <c r="AF95" s="17" t="n"/>
      <c r="AG95" s="17" t="n"/>
      <c r="AH95" s="17" t="n"/>
      <c r="AI95" s="17" t="n"/>
      <c r="AJ95" s="17" t="n"/>
      <c r="AK95" s="17" t="n"/>
      <c r="AL95" s="19" t="n">
        <v>68</v>
      </c>
      <c r="AM95" s="20">
        <f>ROUND(AL95*(1-$L$2),2)</f>
        <v/>
      </c>
      <c r="AN95" s="17" t="n"/>
      <c r="AO95" s="17" t="n"/>
      <c r="AP95" s="17">
        <f>SUM(AF95,AH95,AJ95,AL95,AN95)</f>
        <v/>
      </c>
      <c r="AQ95" s="17">
        <f>SUM(AG95,AI95,AK95,AM95,AO95)</f>
        <v/>
      </c>
      <c r="AR95" s="17">
        <f>$J95*AP95</f>
        <v/>
      </c>
      <c r="AS95" s="17">
        <f>$J95*AQ95</f>
        <v/>
      </c>
      <c r="AT95" s="17">
        <f>AB95+AP95</f>
        <v/>
      </c>
      <c r="AU95" s="18">
        <f>AD95+AQ95</f>
        <v/>
      </c>
      <c r="AV95" s="17">
        <f>$J95*AT95</f>
        <v/>
      </c>
      <c r="AW95" s="18">
        <f>$J95*AU95</f>
        <v/>
      </c>
      <c r="AX95" s="21" t="inlineStr">
        <is>
          <t>Torque arm already included in unit price</t>
        </is>
      </c>
      <c r="AY95" s="22" t="n"/>
    </row>
    <row r="96">
      <c r="A96" s="10" t="inlineStr">
        <is>
          <t>GB-092</t>
        </is>
      </c>
      <c r="B96" s="10" t="inlineStr">
        <is>
          <t>Helical Bevel</t>
        </is>
      </c>
      <c r="C96" s="10" t="inlineStr">
        <is>
          <t>K / Equivalent</t>
        </is>
      </c>
      <c r="D96" s="10" t="inlineStr">
        <is>
          <t>Supplier selection</t>
        </is>
      </c>
      <c r="E96" s="10" t="n">
        <v>0.75</v>
      </c>
      <c r="F96" s="10" t="inlineStr">
        <is>
          <t>1:15</t>
        </is>
      </c>
      <c r="G96" s="10" t="inlineStr">
        <is>
          <t>Torque-arm / universal</t>
        </is>
      </c>
      <c r="H96" s="10" t="inlineStr">
        <is>
          <t>Hollow shaft, keyed</t>
        </is>
      </c>
      <c r="I96" s="10" t="inlineStr">
        <is>
          <t>IEC motor adaptor/input</t>
        </is>
      </c>
      <c r="J96" s="10" t="n">
        <v>1</v>
      </c>
      <c r="K96" s="11" t="inlineStr">
        <is>
          <t>İRK (helical bevel)</t>
        </is>
      </c>
      <c r="L96" s="12" t="inlineStr">
        <is>
          <t>İRKP 42-TR  i=14.25  + IEC 80 B5</t>
        </is>
      </c>
      <c r="M96" s="13" t="inlineStr">
        <is>
          <t>İRKM 42 / 80 M 4b -TR</t>
        </is>
      </c>
      <c r="N96" s="11" t="n">
        <v>14.25</v>
      </c>
      <c r="O96" s="11" t="n">
        <v>98</v>
      </c>
      <c r="P96" s="11" t="n">
        <v>71</v>
      </c>
      <c r="Q96" s="13" t="inlineStr">
        <is>
          <t>Sf 2.9</t>
        </is>
      </c>
      <c r="R96" s="13" t="inlineStr">
        <is>
          <t>Gearmotor table, 4-pole motor, n1≈1400 rpm</t>
        </is>
      </c>
      <c r="S96" s="13" t="inlineStr">
        <is>
          <t>Hollow shaft, keyed (Ø30 std on 42/43)</t>
        </is>
      </c>
      <c r="T96" s="13" t="inlineStr">
        <is>
          <t>IEC 80 B5 (motor 80 M 4b)</t>
        </is>
      </c>
      <c r="U96" s="13" t="inlineStr">
        <is>
          <t>TR/TL torque arm (include); SDL/SDR shrink disc; H retaining washer; OC output cover</t>
        </is>
      </c>
      <c r="V96" s="13" t="inlineStr">
        <is>
          <t>IRK 2024: ratings p.62; dims p.139-140</t>
        </is>
      </c>
      <c r="W96" s="13" t="inlineStr">
        <is>
          <t>Smallest housing with Sf ≥ 1.5 at 0.75 kW / 1400 rpm. Ratio deviation -5.0% vs 1:15. Catalogue lists this ratio as PAM-flange version (IEC adaptor), which suits the RFQ input. Larger alternatives: 43 (i=15.73, Sf=3.4); 53 (i=15.73, Sf=3.4). Catalogue gives identical ratings for 42/52 and 43/53 (same dim. pages 139-140); smaller designation used.</t>
        </is>
      </c>
      <c r="X96" s="14" t="inlineStr">
        <is>
          <t>IRKP 42 – IEC 80 B5 / B14 + torque arm</t>
        </is>
      </c>
      <c r="Y96" s="15" t="inlineStr">
        <is>
          <t>p.31 (IRKP series) + p.30 (IRK options)</t>
        </is>
      </c>
      <c r="Z96" s="15" t="inlineStr">
        <is>
          <t>YES</t>
        </is>
      </c>
      <c r="AA96" s="15" t="inlineStr">
        <is>
          <t>IRKP gear unit €367.00 (hollow shaft) + torque arm €26.00</t>
        </is>
      </c>
      <c r="AB96" s="16" t="n">
        <v>393</v>
      </c>
      <c r="AC96" s="17">
        <f>$J96*AB96</f>
        <v/>
      </c>
      <c r="AD96" s="18">
        <f>ROUND(AB96*(1-$L$2),2)</f>
        <v/>
      </c>
      <c r="AE96" s="18">
        <f>$J96*AD96</f>
        <v/>
      </c>
      <c r="AF96" s="17" t="n"/>
      <c r="AG96" s="17" t="n"/>
      <c r="AH96" s="17" t="n"/>
      <c r="AI96" s="17" t="n"/>
      <c r="AJ96" s="17" t="n"/>
      <c r="AK96" s="17" t="n"/>
      <c r="AL96" s="19" t="n">
        <v>54</v>
      </c>
      <c r="AM96" s="20">
        <f>ROUND(AL96*(1-$L$2),2)</f>
        <v/>
      </c>
      <c r="AN96" s="17" t="n"/>
      <c r="AO96" s="17" t="n"/>
      <c r="AP96" s="17">
        <f>SUM(AF96,AH96,AJ96,AL96,AN96)</f>
        <v/>
      </c>
      <c r="AQ96" s="17">
        <f>SUM(AG96,AI96,AK96,AM96,AO96)</f>
        <v/>
      </c>
      <c r="AR96" s="17">
        <f>$J96*AP96</f>
        <v/>
      </c>
      <c r="AS96" s="17">
        <f>$J96*AQ96</f>
        <v/>
      </c>
      <c r="AT96" s="17">
        <f>AB96+AP96</f>
        <v/>
      </c>
      <c r="AU96" s="18">
        <f>AD96+AQ96</f>
        <v/>
      </c>
      <c r="AV96" s="17">
        <f>$J96*AT96</f>
        <v/>
      </c>
      <c r="AW96" s="18">
        <f>$J96*AU96</f>
        <v/>
      </c>
      <c r="AX96" s="21" t="inlineStr">
        <is>
          <t>Torque arm already included in unit price</t>
        </is>
      </c>
      <c r="AY96" s="22" t="n"/>
    </row>
    <row r="97">
      <c r="A97" s="10" t="inlineStr">
        <is>
          <t>GB-093</t>
        </is>
      </c>
      <c r="B97" s="10" t="inlineStr">
        <is>
          <t>Helical Bevel</t>
        </is>
      </c>
      <c r="C97" s="10" t="inlineStr">
        <is>
          <t>K / Equivalent</t>
        </is>
      </c>
      <c r="D97" s="10" t="inlineStr">
        <is>
          <t>Supplier selection</t>
        </is>
      </c>
      <c r="E97" s="10" t="n">
        <v>0.75</v>
      </c>
      <c r="F97" s="10" t="inlineStr">
        <is>
          <t>1:20</t>
        </is>
      </c>
      <c r="G97" s="10" t="inlineStr">
        <is>
          <t>Torque-arm / universal</t>
        </is>
      </c>
      <c r="H97" s="10" t="inlineStr">
        <is>
          <t>Hollow shaft, keyed</t>
        </is>
      </c>
      <c r="I97" s="10" t="inlineStr">
        <is>
          <t>IEC motor adaptor/input</t>
        </is>
      </c>
      <c r="J97" s="10" t="n">
        <v>1</v>
      </c>
      <c r="K97" s="11" t="inlineStr">
        <is>
          <t>İRK (helical bevel)</t>
        </is>
      </c>
      <c r="L97" s="12" t="inlineStr">
        <is>
          <t>İRKP 43-TR  i=19.83  + IEC 80 B5</t>
        </is>
      </c>
      <c r="M97" s="13" t="inlineStr">
        <is>
          <t>İRKM 43 / 80 M 4b -TR</t>
        </is>
      </c>
      <c r="N97" s="11" t="n">
        <v>19.83</v>
      </c>
      <c r="O97" s="11" t="n">
        <v>71</v>
      </c>
      <c r="P97" s="11" t="n">
        <v>97</v>
      </c>
      <c r="Q97" s="13" t="inlineStr">
        <is>
          <t>Sf 2.7</t>
        </is>
      </c>
      <c r="R97" s="13" t="inlineStr">
        <is>
          <t>Gearmotor table, 4-pole motor, n1≈1400 rpm</t>
        </is>
      </c>
      <c r="S97" s="13" t="inlineStr">
        <is>
          <t>Hollow shaft, keyed (Ø30 std on 42/43)</t>
        </is>
      </c>
      <c r="T97" s="13" t="inlineStr">
        <is>
          <t>IEC 80 B5 (motor 80 M 4b)</t>
        </is>
      </c>
      <c r="U97" s="13" t="inlineStr">
        <is>
          <t>TR/TL torque arm (include); SDL/SDR shrink disc; H retaining washer; OC output cover</t>
        </is>
      </c>
      <c r="V97" s="13" t="inlineStr">
        <is>
          <t>IRK 2024: ratings p.62; dims p.139-140</t>
        </is>
      </c>
      <c r="W97" s="13" t="inlineStr">
        <is>
          <t>Smallest housing with Sf ≥ 1.5 at 0.75 kW / 1400 rpm. Ratio deviation -0.9% vs 1:20. Larger alternatives: 63 (i=19.11, Sf=4.1). Catalogue gives identical ratings for 42/52 and 43/53 (same dim. pages 139-140); smaller designation used.</t>
        </is>
      </c>
      <c r="X97" s="14" t="inlineStr">
        <is>
          <t>IRKP 43 – IEC 80 B5 / B14 + torque arm</t>
        </is>
      </c>
      <c r="Y97" s="15" t="inlineStr">
        <is>
          <t>p.31 (IRKP series) + p.30 (IRK options)</t>
        </is>
      </c>
      <c r="Z97" s="15" t="inlineStr">
        <is>
          <t>YES</t>
        </is>
      </c>
      <c r="AA97" s="15" t="inlineStr">
        <is>
          <t>IRKP gear unit €382.00 (hollow shaft) + torque arm €26.00</t>
        </is>
      </c>
      <c r="AB97" s="16" t="n">
        <v>408</v>
      </c>
      <c r="AC97" s="17">
        <f>$J97*AB97</f>
        <v/>
      </c>
      <c r="AD97" s="18">
        <f>ROUND(AB97*(1-$L$2),2)</f>
        <v/>
      </c>
      <c r="AE97" s="18">
        <f>$J97*AD97</f>
        <v/>
      </c>
      <c r="AF97" s="17" t="n"/>
      <c r="AG97" s="17" t="n"/>
      <c r="AH97" s="17" t="n"/>
      <c r="AI97" s="17" t="n"/>
      <c r="AJ97" s="17" t="n"/>
      <c r="AK97" s="17" t="n"/>
      <c r="AL97" s="19" t="n">
        <v>54</v>
      </c>
      <c r="AM97" s="20">
        <f>ROUND(AL97*(1-$L$2),2)</f>
        <v/>
      </c>
      <c r="AN97" s="17" t="n"/>
      <c r="AO97" s="17" t="n"/>
      <c r="AP97" s="17">
        <f>SUM(AF97,AH97,AJ97,AL97,AN97)</f>
        <v/>
      </c>
      <c r="AQ97" s="17">
        <f>SUM(AG97,AI97,AK97,AM97,AO97)</f>
        <v/>
      </c>
      <c r="AR97" s="17">
        <f>$J97*AP97</f>
        <v/>
      </c>
      <c r="AS97" s="17">
        <f>$J97*AQ97</f>
        <v/>
      </c>
      <c r="AT97" s="17">
        <f>AB97+AP97</f>
        <v/>
      </c>
      <c r="AU97" s="18">
        <f>AD97+AQ97</f>
        <v/>
      </c>
      <c r="AV97" s="17">
        <f>$J97*AT97</f>
        <v/>
      </c>
      <c r="AW97" s="18">
        <f>$J97*AU97</f>
        <v/>
      </c>
      <c r="AX97" s="21" t="inlineStr">
        <is>
          <t>Torque arm already included in unit price</t>
        </is>
      </c>
      <c r="AY97" s="22" t="n"/>
    </row>
    <row r="98">
      <c r="A98" s="10" t="inlineStr">
        <is>
          <t>GB-094</t>
        </is>
      </c>
      <c r="B98" s="10" t="inlineStr">
        <is>
          <t>Helical Bevel</t>
        </is>
      </c>
      <c r="C98" s="10" t="inlineStr">
        <is>
          <t>K / Equivalent</t>
        </is>
      </c>
      <c r="D98" s="10" t="inlineStr">
        <is>
          <t>Supplier selection</t>
        </is>
      </c>
      <c r="E98" s="10" t="n">
        <v>0.75</v>
      </c>
      <c r="F98" s="10" t="inlineStr">
        <is>
          <t>1:30</t>
        </is>
      </c>
      <c r="G98" s="10" t="inlineStr">
        <is>
          <t>Torque-arm / universal</t>
        </is>
      </c>
      <c r="H98" s="10" t="inlineStr">
        <is>
          <t>Hollow shaft, keyed</t>
        </is>
      </c>
      <c r="I98" s="10" t="inlineStr">
        <is>
          <t>IEC motor adaptor/input</t>
        </is>
      </c>
      <c r="J98" s="10" t="n">
        <v>1</v>
      </c>
      <c r="K98" s="11" t="inlineStr">
        <is>
          <t>İRK (helical bevel)</t>
        </is>
      </c>
      <c r="L98" s="12" t="inlineStr">
        <is>
          <t>İRKP 43-TR  i=29.92  + IEC 80 B5</t>
        </is>
      </c>
      <c r="M98" s="13" t="inlineStr">
        <is>
          <t>İRKM 43 / 80 M 4b -TR</t>
        </is>
      </c>
      <c r="N98" s="11" t="n">
        <v>29.92</v>
      </c>
      <c r="O98" s="11" t="n">
        <v>47</v>
      </c>
      <c r="P98" s="11" t="n">
        <v>146</v>
      </c>
      <c r="Q98" s="13" t="inlineStr">
        <is>
          <t>Sf 1.69</t>
        </is>
      </c>
      <c r="R98" s="13" t="inlineStr">
        <is>
          <t>Gearmotor table, 4-pole motor, n1≈1400 rpm</t>
        </is>
      </c>
      <c r="S98" s="13" t="inlineStr">
        <is>
          <t>Hollow shaft, keyed (Ø30 std on 42/43)</t>
        </is>
      </c>
      <c r="T98" s="13" t="inlineStr">
        <is>
          <t>IEC 80 B5 (motor 80 M 4b)</t>
        </is>
      </c>
      <c r="U98" s="13" t="inlineStr">
        <is>
          <t>TR/TL torque arm (include); SDL/SDR shrink disc; H retaining washer; OC output cover</t>
        </is>
      </c>
      <c r="V98" s="13" t="inlineStr">
        <is>
          <t>IRK 2024: ratings p.62; dims p.139-140</t>
        </is>
      </c>
      <c r="W98" s="13" t="inlineStr">
        <is>
          <t>Smallest housing with Sf ≥ 1.5 at 0.75 kW / 1400 rpm. Ratio deviation -0.3% vs 1:30. Larger alternatives: 63 (i=30.93, Sf=2.6). Catalogue gives identical ratings for 42/52 and 43/53 (same dim. pages 139-140); smaller designation used.</t>
        </is>
      </c>
      <c r="X98" s="14" t="inlineStr">
        <is>
          <t>IRKP 43 – IEC 80 B5 / B14 + torque arm</t>
        </is>
      </c>
      <c r="Y98" s="15" t="inlineStr">
        <is>
          <t>p.31 (IRKP series) + p.30 (IRK options)</t>
        </is>
      </c>
      <c r="Z98" s="15" t="inlineStr">
        <is>
          <t>YES</t>
        </is>
      </c>
      <c r="AA98" s="15" t="inlineStr">
        <is>
          <t>IRKP gear unit €382.00 (hollow shaft) + torque arm €26.00</t>
        </is>
      </c>
      <c r="AB98" s="16" t="n">
        <v>408</v>
      </c>
      <c r="AC98" s="17">
        <f>$J98*AB98</f>
        <v/>
      </c>
      <c r="AD98" s="18">
        <f>ROUND(AB98*(1-$L$2),2)</f>
        <v/>
      </c>
      <c r="AE98" s="18">
        <f>$J98*AD98</f>
        <v/>
      </c>
      <c r="AF98" s="17" t="n"/>
      <c r="AG98" s="17" t="n"/>
      <c r="AH98" s="17" t="n"/>
      <c r="AI98" s="17" t="n"/>
      <c r="AJ98" s="17" t="n"/>
      <c r="AK98" s="17" t="n"/>
      <c r="AL98" s="19" t="n">
        <v>54</v>
      </c>
      <c r="AM98" s="20">
        <f>ROUND(AL98*(1-$L$2),2)</f>
        <v/>
      </c>
      <c r="AN98" s="17" t="n"/>
      <c r="AO98" s="17" t="n"/>
      <c r="AP98" s="17">
        <f>SUM(AF98,AH98,AJ98,AL98,AN98)</f>
        <v/>
      </c>
      <c r="AQ98" s="17">
        <f>SUM(AG98,AI98,AK98,AM98,AO98)</f>
        <v/>
      </c>
      <c r="AR98" s="17">
        <f>$J98*AP98</f>
        <v/>
      </c>
      <c r="AS98" s="17">
        <f>$J98*AQ98</f>
        <v/>
      </c>
      <c r="AT98" s="17">
        <f>AB98+AP98</f>
        <v/>
      </c>
      <c r="AU98" s="18">
        <f>AD98+AQ98</f>
        <v/>
      </c>
      <c r="AV98" s="17">
        <f>$J98*AT98</f>
        <v/>
      </c>
      <c r="AW98" s="18">
        <f>$J98*AU98</f>
        <v/>
      </c>
      <c r="AX98" s="21" t="inlineStr">
        <is>
          <t>Torque arm already included in unit price</t>
        </is>
      </c>
      <c r="AY98" s="22" t="n"/>
    </row>
    <row r="99">
      <c r="A99" s="10" t="inlineStr">
        <is>
          <t>GB-095</t>
        </is>
      </c>
      <c r="B99" s="10" t="inlineStr">
        <is>
          <t>Helical Bevel</t>
        </is>
      </c>
      <c r="C99" s="10" t="inlineStr">
        <is>
          <t>K / Equivalent</t>
        </is>
      </c>
      <c r="D99" s="10" t="inlineStr">
        <is>
          <t>Supplier selection</t>
        </is>
      </c>
      <c r="E99" s="10" t="n">
        <v>1.1</v>
      </c>
      <c r="F99" s="10" t="inlineStr">
        <is>
          <t>1:10</t>
        </is>
      </c>
      <c r="G99" s="10" t="inlineStr">
        <is>
          <t>Torque-arm / universal</t>
        </is>
      </c>
      <c r="H99" s="10" t="inlineStr">
        <is>
          <t>Hollow shaft, keyed</t>
        </is>
      </c>
      <c r="I99" s="10" t="inlineStr">
        <is>
          <t>IEC motor adaptor/input</t>
        </is>
      </c>
      <c r="J99" s="10" t="n">
        <v>1</v>
      </c>
      <c r="K99" s="11" t="inlineStr">
        <is>
          <t>İRK (helical bevel)</t>
        </is>
      </c>
      <c r="L99" s="12" t="inlineStr">
        <is>
          <t>İRKP 63-TR  i=10.44  + IEC 90 B5</t>
        </is>
      </c>
      <c r="M99" s="13" t="inlineStr">
        <is>
          <t>İRKM 63 / 90 S 4a -TR</t>
        </is>
      </c>
      <c r="N99" s="11" t="n">
        <v>10.44</v>
      </c>
      <c r="O99" s="11" t="n">
        <v>134</v>
      </c>
      <c r="P99" s="11" t="n">
        <v>75</v>
      </c>
      <c r="Q99" s="13" t="inlineStr">
        <is>
          <t>Sf 3.7</t>
        </is>
      </c>
      <c r="R99" s="13" t="inlineStr">
        <is>
          <t>Gearmotor table, 4-pole motor, n1≈1400 rpm</t>
        </is>
      </c>
      <c r="S99" s="13" t="inlineStr">
        <is>
          <t>Hollow shaft, keyed</t>
        </is>
      </c>
      <c r="T99" s="13" t="inlineStr">
        <is>
          <t>IEC 90 B5 (motor 90 S 4a)</t>
        </is>
      </c>
      <c r="U99" s="13" t="inlineStr">
        <is>
          <t>TR/TL torque arm (include); SDL/SDR shrink disc; H retaining washer; OC output cover</t>
        </is>
      </c>
      <c r="V99" s="13" t="inlineStr">
        <is>
          <t>IRK 2024: ratings p.65; dims p.143-144</t>
        </is>
      </c>
      <c r="W99" s="13" t="inlineStr">
        <is>
          <t>Smallest housing with Sf ≥ 1.5 at 1.1 kW / 1400 rpm. Ratio deviation +4.4% vs 1:10.</t>
        </is>
      </c>
      <c r="X99" s="14" t="inlineStr">
        <is>
          <t>IRKP 63 – IEC 90 B5 / B14 + torque arm</t>
        </is>
      </c>
      <c r="Y99" s="15" t="inlineStr">
        <is>
          <t>p.31 (IRKP series) + p.30 (IRK options)</t>
        </is>
      </c>
      <c r="Z99" s="15" t="inlineStr">
        <is>
          <t>YES</t>
        </is>
      </c>
      <c r="AA99" s="15" t="inlineStr">
        <is>
          <t>IRKP gear unit €493.00 (hollow shaft) + torque arm €39.00</t>
        </is>
      </c>
      <c r="AB99" s="16" t="n">
        <v>532</v>
      </c>
      <c r="AC99" s="17">
        <f>$J99*AB99</f>
        <v/>
      </c>
      <c r="AD99" s="18">
        <f>ROUND(AB99*(1-$L$2),2)</f>
        <v/>
      </c>
      <c r="AE99" s="18">
        <f>$J99*AD99</f>
        <v/>
      </c>
      <c r="AF99" s="17" t="n"/>
      <c r="AG99" s="17" t="n"/>
      <c r="AH99" s="17" t="n"/>
      <c r="AI99" s="17" t="n"/>
      <c r="AJ99" s="17" t="n"/>
      <c r="AK99" s="17" t="n"/>
      <c r="AL99" s="19" t="n">
        <v>68</v>
      </c>
      <c r="AM99" s="20">
        <f>ROUND(AL99*(1-$L$2),2)</f>
        <v/>
      </c>
      <c r="AN99" s="17" t="n"/>
      <c r="AO99" s="17" t="n"/>
      <c r="AP99" s="17">
        <f>SUM(AF99,AH99,AJ99,AL99,AN99)</f>
        <v/>
      </c>
      <c r="AQ99" s="17">
        <f>SUM(AG99,AI99,AK99,AM99,AO99)</f>
        <v/>
      </c>
      <c r="AR99" s="17">
        <f>$J99*AP99</f>
        <v/>
      </c>
      <c r="AS99" s="17">
        <f>$J99*AQ99</f>
        <v/>
      </c>
      <c r="AT99" s="17">
        <f>AB99+AP99</f>
        <v/>
      </c>
      <c r="AU99" s="18">
        <f>AD99+AQ99</f>
        <v/>
      </c>
      <c r="AV99" s="17">
        <f>$J99*AT99</f>
        <v/>
      </c>
      <c r="AW99" s="18">
        <f>$J99*AU99</f>
        <v/>
      </c>
      <c r="AX99" s="21" t="inlineStr">
        <is>
          <t>Torque arm already included in unit price</t>
        </is>
      </c>
      <c r="AY99" s="22" t="n"/>
    </row>
    <row r="100">
      <c r="A100" s="10" t="inlineStr">
        <is>
          <t>GB-096</t>
        </is>
      </c>
      <c r="B100" s="10" t="inlineStr">
        <is>
          <t>Helical Bevel</t>
        </is>
      </c>
      <c r="C100" s="10" t="inlineStr">
        <is>
          <t>K / Equivalent</t>
        </is>
      </c>
      <c r="D100" s="10" t="inlineStr">
        <is>
          <t>Supplier selection</t>
        </is>
      </c>
      <c r="E100" s="10" t="n">
        <v>1.1</v>
      </c>
      <c r="F100" s="10" t="inlineStr">
        <is>
          <t>1:20</t>
        </is>
      </c>
      <c r="G100" s="10" t="inlineStr">
        <is>
          <t>Torque-arm / universal</t>
        </is>
      </c>
      <c r="H100" s="10" t="inlineStr">
        <is>
          <t>Hollow shaft, keyed</t>
        </is>
      </c>
      <c r="I100" s="10" t="inlineStr">
        <is>
          <t>IEC motor adaptor/input</t>
        </is>
      </c>
      <c r="J100" s="10" t="n">
        <v>1</v>
      </c>
      <c r="K100" s="11" t="inlineStr">
        <is>
          <t>İRK (helical bevel)</t>
        </is>
      </c>
      <c r="L100" s="12" t="inlineStr">
        <is>
          <t>İRKP 43-TR  i=19.83  + IEC 90 B5</t>
        </is>
      </c>
      <c r="M100" s="13" t="inlineStr">
        <is>
          <t>İRKM 43 / 90 S 4a -TR</t>
        </is>
      </c>
      <c r="N100" s="11" t="n">
        <v>19.83</v>
      </c>
      <c r="O100" s="11" t="n">
        <v>71</v>
      </c>
      <c r="P100" s="11" t="n">
        <v>142</v>
      </c>
      <c r="Q100" s="13" t="inlineStr">
        <is>
          <t>Sf 1.85</t>
        </is>
      </c>
      <c r="R100" s="13" t="inlineStr">
        <is>
          <t>Gearmotor table, 4-pole motor, n1≈1400 rpm</t>
        </is>
      </c>
      <c r="S100" s="13" t="inlineStr">
        <is>
          <t>Hollow shaft, keyed (Ø30 std on 42/43)</t>
        </is>
      </c>
      <c r="T100" s="13" t="inlineStr">
        <is>
          <t>IEC 90 B5 (motor 90 S 4a)</t>
        </is>
      </c>
      <c r="U100" s="13" t="inlineStr">
        <is>
          <t>TR/TL torque arm (include); SDL/SDR shrink disc; H retaining washer; OC output cover</t>
        </is>
      </c>
      <c r="V100" s="13" t="inlineStr">
        <is>
          <t>IRK 2024: ratings p.66; dims p.139-140</t>
        </is>
      </c>
      <c r="W100" s="13" t="inlineStr">
        <is>
          <t>Smallest housing with Sf ≥ 1.5 at 1.1 kW / 1400 rpm. Ratio deviation -0.9% vs 1:20. Larger alternatives: 63 (i=19.11, Sf=2.8). Catalogue gives identical ratings for 42/52 and 43/53 (same dim. pages 139-140); smaller designation used.</t>
        </is>
      </c>
      <c r="X100" s="14" t="inlineStr">
        <is>
          <t>IRKP 43 – IEC 90 B5 / B14 + torque arm</t>
        </is>
      </c>
      <c r="Y100" s="15" t="inlineStr">
        <is>
          <t>p.31 (IRKP series) + p.30 (IRK options)</t>
        </is>
      </c>
      <c r="Z100" s="15" t="inlineStr">
        <is>
          <t>YES</t>
        </is>
      </c>
      <c r="AA100" s="15" t="inlineStr">
        <is>
          <t>IRKP gear unit €382.00 (hollow shaft) + torque arm €26.00</t>
        </is>
      </c>
      <c r="AB100" s="16" t="n">
        <v>408</v>
      </c>
      <c r="AC100" s="17">
        <f>$J100*AB100</f>
        <v/>
      </c>
      <c r="AD100" s="18">
        <f>ROUND(AB100*(1-$L$2),2)</f>
        <v/>
      </c>
      <c r="AE100" s="18">
        <f>$J100*AD100</f>
        <v/>
      </c>
      <c r="AF100" s="17" t="n"/>
      <c r="AG100" s="17" t="n"/>
      <c r="AH100" s="17" t="n"/>
      <c r="AI100" s="17" t="n"/>
      <c r="AJ100" s="17" t="n"/>
      <c r="AK100" s="17" t="n"/>
      <c r="AL100" s="19" t="n">
        <v>54</v>
      </c>
      <c r="AM100" s="20">
        <f>ROUND(AL100*(1-$L$2),2)</f>
        <v/>
      </c>
      <c r="AN100" s="17" t="n"/>
      <c r="AO100" s="17" t="n"/>
      <c r="AP100" s="17">
        <f>SUM(AF100,AH100,AJ100,AL100,AN100)</f>
        <v/>
      </c>
      <c r="AQ100" s="17">
        <f>SUM(AG100,AI100,AK100,AM100,AO100)</f>
        <v/>
      </c>
      <c r="AR100" s="17">
        <f>$J100*AP100</f>
        <v/>
      </c>
      <c r="AS100" s="17">
        <f>$J100*AQ100</f>
        <v/>
      </c>
      <c r="AT100" s="17">
        <f>AB100+AP100</f>
        <v/>
      </c>
      <c r="AU100" s="18">
        <f>AD100+AQ100</f>
        <v/>
      </c>
      <c r="AV100" s="17">
        <f>$J100*AT100</f>
        <v/>
      </c>
      <c r="AW100" s="18">
        <f>$J100*AU100</f>
        <v/>
      </c>
      <c r="AX100" s="21" t="inlineStr">
        <is>
          <t>Torque arm already included in unit price</t>
        </is>
      </c>
      <c r="AY100" s="22" t="n"/>
    </row>
    <row r="101">
      <c r="A101" s="10" t="inlineStr">
        <is>
          <t>GB-097</t>
        </is>
      </c>
      <c r="B101" s="10" t="inlineStr">
        <is>
          <t>Helical Bevel</t>
        </is>
      </c>
      <c r="C101" s="10" t="inlineStr">
        <is>
          <t>K / Equivalent</t>
        </is>
      </c>
      <c r="D101" s="10" t="inlineStr">
        <is>
          <t>Supplier selection</t>
        </is>
      </c>
      <c r="E101" s="10" t="n">
        <v>1.1</v>
      </c>
      <c r="F101" s="10" t="inlineStr">
        <is>
          <t>1:30</t>
        </is>
      </c>
      <c r="G101" s="10" t="inlineStr">
        <is>
          <t>Torque-arm / universal</t>
        </is>
      </c>
      <c r="H101" s="10" t="inlineStr">
        <is>
          <t>Hollow shaft, keyed</t>
        </is>
      </c>
      <c r="I101" s="10" t="inlineStr">
        <is>
          <t>IEC motor adaptor/input</t>
        </is>
      </c>
      <c r="J101" s="10" t="n">
        <v>1</v>
      </c>
      <c r="K101" s="11" t="inlineStr">
        <is>
          <t>İRK (helical bevel)</t>
        </is>
      </c>
      <c r="L101" s="12" t="inlineStr">
        <is>
          <t>İRKP 63-TR  i=30.93  + IEC 90 B5</t>
        </is>
      </c>
      <c r="M101" s="13" t="inlineStr">
        <is>
          <t>İRKM 63 / 90 S 4a -TR</t>
        </is>
      </c>
      <c r="N101" s="11" t="n">
        <v>30.93</v>
      </c>
      <c r="O101" s="11" t="n">
        <v>45</v>
      </c>
      <c r="P101" s="11" t="n">
        <v>222</v>
      </c>
      <c r="Q101" s="13" t="inlineStr">
        <is>
          <t>Sf 1.8</t>
        </is>
      </c>
      <c r="R101" s="13" t="inlineStr">
        <is>
          <t>Gearmotor table, 4-pole motor, n1≈1400 rpm</t>
        </is>
      </c>
      <c r="S101" s="13" t="inlineStr">
        <is>
          <t>Hollow shaft, keyed</t>
        </is>
      </c>
      <c r="T101" s="13" t="inlineStr">
        <is>
          <t>IEC 90 B5 (motor 90 S 4a)</t>
        </is>
      </c>
      <c r="U101" s="13" t="inlineStr">
        <is>
          <t>TR/TL torque arm (include); SDL/SDR shrink disc; H retaining washer; OC output cover</t>
        </is>
      </c>
      <c r="V101" s="13" t="inlineStr">
        <is>
          <t>IRK 2024: ratings p.65; dims p.143-144</t>
        </is>
      </c>
      <c r="W101" s="13" t="inlineStr">
        <is>
          <t>Smallest housing with Sf ≥ 1.5 at 1.1 kW / 1400 rpm. Ratio deviation +3.1% vs 1:30.</t>
        </is>
      </c>
      <c r="X101" s="14" t="inlineStr">
        <is>
          <t>IRKP 63 – IEC 90 B5 / B14 + torque arm</t>
        </is>
      </c>
      <c r="Y101" s="15" t="inlineStr">
        <is>
          <t>p.31 (IRKP series) + p.30 (IRK options)</t>
        </is>
      </c>
      <c r="Z101" s="15" t="inlineStr">
        <is>
          <t>YES</t>
        </is>
      </c>
      <c r="AA101" s="15" t="inlineStr">
        <is>
          <t>IRKP gear unit €493.00 (hollow shaft) + torque arm €39.00</t>
        </is>
      </c>
      <c r="AB101" s="16" t="n">
        <v>532</v>
      </c>
      <c r="AC101" s="17">
        <f>$J101*AB101</f>
        <v/>
      </c>
      <c r="AD101" s="18">
        <f>ROUND(AB101*(1-$L$2),2)</f>
        <v/>
      </c>
      <c r="AE101" s="18">
        <f>$J101*AD101</f>
        <v/>
      </c>
      <c r="AF101" s="17" t="n"/>
      <c r="AG101" s="17" t="n"/>
      <c r="AH101" s="17" t="n"/>
      <c r="AI101" s="17" t="n"/>
      <c r="AJ101" s="17" t="n"/>
      <c r="AK101" s="17" t="n"/>
      <c r="AL101" s="19" t="n">
        <v>68</v>
      </c>
      <c r="AM101" s="20">
        <f>ROUND(AL101*(1-$L$2),2)</f>
        <v/>
      </c>
      <c r="AN101" s="17" t="n"/>
      <c r="AO101" s="17" t="n"/>
      <c r="AP101" s="17">
        <f>SUM(AF101,AH101,AJ101,AL101,AN101)</f>
        <v/>
      </c>
      <c r="AQ101" s="17">
        <f>SUM(AG101,AI101,AK101,AM101,AO101)</f>
        <v/>
      </c>
      <c r="AR101" s="17">
        <f>$J101*AP101</f>
        <v/>
      </c>
      <c r="AS101" s="17">
        <f>$J101*AQ101</f>
        <v/>
      </c>
      <c r="AT101" s="17">
        <f>AB101+AP101</f>
        <v/>
      </c>
      <c r="AU101" s="18">
        <f>AD101+AQ101</f>
        <v/>
      </c>
      <c r="AV101" s="17">
        <f>$J101*AT101</f>
        <v/>
      </c>
      <c r="AW101" s="18">
        <f>$J101*AU101</f>
        <v/>
      </c>
      <c r="AX101" s="21" t="inlineStr">
        <is>
          <t>Torque arm already included in unit price</t>
        </is>
      </c>
      <c r="AY101" s="22" t="n"/>
    </row>
    <row r="102">
      <c r="A102" s="10" t="inlineStr">
        <is>
          <t>GB-098</t>
        </is>
      </c>
      <c r="B102" s="10" t="inlineStr">
        <is>
          <t>Helical Bevel</t>
        </is>
      </c>
      <c r="C102" s="10" t="inlineStr">
        <is>
          <t>K / Equivalent</t>
        </is>
      </c>
      <c r="D102" s="10" t="inlineStr">
        <is>
          <t>Supplier selection</t>
        </is>
      </c>
      <c r="E102" s="10" t="n">
        <v>1.1</v>
      </c>
      <c r="F102" s="10" t="inlineStr">
        <is>
          <t>1:40</t>
        </is>
      </c>
      <c r="G102" s="10" t="inlineStr">
        <is>
          <t>Torque-arm / universal</t>
        </is>
      </c>
      <c r="H102" s="10" t="inlineStr">
        <is>
          <t>Hollow shaft, keyed</t>
        </is>
      </c>
      <c r="I102" s="10" t="inlineStr">
        <is>
          <t>IEC motor adaptor/input</t>
        </is>
      </c>
      <c r="J102" s="10" t="n">
        <v>1</v>
      </c>
      <c r="K102" s="11" t="inlineStr">
        <is>
          <t>İRK (helical bevel)</t>
        </is>
      </c>
      <c r="L102" s="12" t="inlineStr">
        <is>
          <t>İRKP 73-TR  i=42.21  + IEC 90 B5</t>
        </is>
      </c>
      <c r="M102" s="13" t="inlineStr">
        <is>
          <t>İRKM 73 / 90 S 4a -TR</t>
        </is>
      </c>
      <c r="N102" s="11" t="n">
        <v>42.21</v>
      </c>
      <c r="O102" s="11" t="n">
        <v>33</v>
      </c>
      <c r="P102" s="11" t="n">
        <v>303</v>
      </c>
      <c r="Q102" s="13" t="inlineStr">
        <is>
          <t>Sf 2.7</t>
        </is>
      </c>
      <c r="R102" s="13" t="inlineStr">
        <is>
          <t>Gearmotor table, 4-pole motor, n1≈1400 rpm</t>
        </is>
      </c>
      <c r="S102" s="13" t="inlineStr">
        <is>
          <t>Hollow shaft, keyed</t>
        </is>
      </c>
      <c r="T102" s="13" t="inlineStr">
        <is>
          <t>IEC 90 B5 (motor 90 S 4a)</t>
        </is>
      </c>
      <c r="U102" s="13" t="inlineStr">
        <is>
          <t>TR/TL torque arm (include); SDL/SDR shrink disc; H retaining washer; OC output cover</t>
        </is>
      </c>
      <c r="V102" s="13" t="inlineStr">
        <is>
          <t>IRK 2024: ratings p.65; dims p.147-148</t>
        </is>
      </c>
      <c r="W102" s="13" t="inlineStr">
        <is>
          <t>Smallest housing with Sf ≥ 1.5 at 1.1 kW / 1400 rpm. Ratio deviation +5.5% vs 1:40.</t>
        </is>
      </c>
      <c r="X102" s="14" t="inlineStr">
        <is>
          <t>IRKP 73 – IEC 90 B5 / B14 + torque arm</t>
        </is>
      </c>
      <c r="Y102" s="15" t="inlineStr">
        <is>
          <t>p.31 (IRKP series) + p.30 (IRK options)</t>
        </is>
      </c>
      <c r="Z102" s="15" t="inlineStr">
        <is>
          <t>YES</t>
        </is>
      </c>
      <c r="AA102" s="15" t="inlineStr">
        <is>
          <t>IRKP gear unit €786.00 (hollow shaft) + torque arm €53.00</t>
        </is>
      </c>
      <c r="AB102" s="16" t="n">
        <v>839</v>
      </c>
      <c r="AC102" s="17">
        <f>$J102*AB102</f>
        <v/>
      </c>
      <c r="AD102" s="18">
        <f>ROUND(AB102*(1-$L$2),2)</f>
        <v/>
      </c>
      <c r="AE102" s="18">
        <f>$J102*AD102</f>
        <v/>
      </c>
      <c r="AF102" s="17" t="n"/>
      <c r="AG102" s="17" t="n"/>
      <c r="AH102" s="17" t="n"/>
      <c r="AI102" s="17" t="n"/>
      <c r="AJ102" s="17" t="n"/>
      <c r="AK102" s="17" t="n"/>
      <c r="AL102" s="19" t="n">
        <v>103</v>
      </c>
      <c r="AM102" s="20">
        <f>ROUND(AL102*(1-$L$2),2)</f>
        <v/>
      </c>
      <c r="AN102" s="17" t="n"/>
      <c r="AO102" s="17" t="n"/>
      <c r="AP102" s="17">
        <f>SUM(AF102,AH102,AJ102,AL102,AN102)</f>
        <v/>
      </c>
      <c r="AQ102" s="17">
        <f>SUM(AG102,AI102,AK102,AM102,AO102)</f>
        <v/>
      </c>
      <c r="AR102" s="17">
        <f>$J102*AP102</f>
        <v/>
      </c>
      <c r="AS102" s="17">
        <f>$J102*AQ102</f>
        <v/>
      </c>
      <c r="AT102" s="17">
        <f>AB102+AP102</f>
        <v/>
      </c>
      <c r="AU102" s="18">
        <f>AD102+AQ102</f>
        <v/>
      </c>
      <c r="AV102" s="17">
        <f>$J102*AT102</f>
        <v/>
      </c>
      <c r="AW102" s="18">
        <f>$J102*AU102</f>
        <v/>
      </c>
      <c r="AX102" s="21" t="inlineStr">
        <is>
          <t>Torque arm already included in unit price</t>
        </is>
      </c>
      <c r="AY102" s="22" t="n"/>
    </row>
    <row r="103">
      <c r="A103" s="10" t="inlineStr">
        <is>
          <t>GB-099</t>
        </is>
      </c>
      <c r="B103" s="10" t="inlineStr">
        <is>
          <t>Helical Bevel</t>
        </is>
      </c>
      <c r="C103" s="10" t="inlineStr">
        <is>
          <t>K / Equivalent</t>
        </is>
      </c>
      <c r="D103" s="10" t="inlineStr">
        <is>
          <t>Supplier selection</t>
        </is>
      </c>
      <c r="E103" s="10" t="n">
        <v>1.5</v>
      </c>
      <c r="F103" s="10" t="inlineStr">
        <is>
          <t>1:10</t>
        </is>
      </c>
      <c r="G103" s="10" t="inlineStr">
        <is>
          <t>Torque-arm / universal</t>
        </is>
      </c>
      <c r="H103" s="10" t="inlineStr">
        <is>
          <t>Hollow shaft, keyed</t>
        </is>
      </c>
      <c r="I103" s="10" t="inlineStr">
        <is>
          <t>IEC motor adaptor/input</t>
        </is>
      </c>
      <c r="J103" s="10" t="n">
        <v>1</v>
      </c>
      <c r="K103" s="11" t="inlineStr">
        <is>
          <t>İRK (helical bevel)</t>
        </is>
      </c>
      <c r="L103" s="12" t="inlineStr">
        <is>
          <t>İRKP 63-TR  i=10.44  + IEC 90 B5</t>
        </is>
      </c>
      <c r="M103" s="13" t="inlineStr">
        <is>
          <t>İRKM 63 / 90 L 4a -TR</t>
        </is>
      </c>
      <c r="N103" s="11" t="n">
        <v>10.44</v>
      </c>
      <c r="O103" s="11" t="n">
        <v>134</v>
      </c>
      <c r="P103" s="11" t="n">
        <v>102</v>
      </c>
      <c r="Q103" s="13" t="inlineStr">
        <is>
          <t>Sf 2.7</t>
        </is>
      </c>
      <c r="R103" s="13" t="inlineStr">
        <is>
          <t>Gearmotor table, 4-pole motor, n1≈1400 rpm</t>
        </is>
      </c>
      <c r="S103" s="13" t="inlineStr">
        <is>
          <t>Hollow shaft, keyed</t>
        </is>
      </c>
      <c r="T103" s="13" t="inlineStr">
        <is>
          <t>IEC 90 B5 (motor 90 L 4a)</t>
        </is>
      </c>
      <c r="U103" s="13" t="inlineStr">
        <is>
          <t>TR/TL torque arm (include); SDL/SDR shrink disc; H retaining washer; OC output cover</t>
        </is>
      </c>
      <c r="V103" s="13" t="inlineStr">
        <is>
          <t>IRK 2024: ratings p.69; dims p.143-144</t>
        </is>
      </c>
      <c r="W103" s="13" t="inlineStr">
        <is>
          <t>Smallest housing with Sf ≥ 1.5 at 1.5 kW / 1400 rpm. Ratio deviation +4.4% vs 1:10. Larger alternatives: 73 (i=10.38, Sf=5.1).</t>
        </is>
      </c>
      <c r="X103" s="14" t="inlineStr">
        <is>
          <t>IRKP 63 – IEC 90 B5 / B14 + torque arm</t>
        </is>
      </c>
      <c r="Y103" s="15" t="inlineStr">
        <is>
          <t>p.31 (IRKP series) + p.30 (IRK options)</t>
        </is>
      </c>
      <c r="Z103" s="15" t="inlineStr">
        <is>
          <t>YES</t>
        </is>
      </c>
      <c r="AA103" s="15" t="inlineStr">
        <is>
          <t>IRKP gear unit €493.00 (hollow shaft) + torque arm €39.00</t>
        </is>
      </c>
      <c r="AB103" s="16" t="n">
        <v>532</v>
      </c>
      <c r="AC103" s="17">
        <f>$J103*AB103</f>
        <v/>
      </c>
      <c r="AD103" s="18">
        <f>ROUND(AB103*(1-$L$2),2)</f>
        <v/>
      </c>
      <c r="AE103" s="18">
        <f>$J103*AD103</f>
        <v/>
      </c>
      <c r="AF103" s="17" t="n"/>
      <c r="AG103" s="17" t="n"/>
      <c r="AH103" s="17" t="n"/>
      <c r="AI103" s="17" t="n"/>
      <c r="AJ103" s="17" t="n"/>
      <c r="AK103" s="17" t="n"/>
      <c r="AL103" s="19" t="n">
        <v>68</v>
      </c>
      <c r="AM103" s="20">
        <f>ROUND(AL103*(1-$L$2),2)</f>
        <v/>
      </c>
      <c r="AN103" s="17" t="n"/>
      <c r="AO103" s="17" t="n"/>
      <c r="AP103" s="17">
        <f>SUM(AF103,AH103,AJ103,AL103,AN103)</f>
        <v/>
      </c>
      <c r="AQ103" s="17">
        <f>SUM(AG103,AI103,AK103,AM103,AO103)</f>
        <v/>
      </c>
      <c r="AR103" s="17">
        <f>$J103*AP103</f>
        <v/>
      </c>
      <c r="AS103" s="17">
        <f>$J103*AQ103</f>
        <v/>
      </c>
      <c r="AT103" s="17">
        <f>AB103+AP103</f>
        <v/>
      </c>
      <c r="AU103" s="18">
        <f>AD103+AQ103</f>
        <v/>
      </c>
      <c r="AV103" s="17">
        <f>$J103*AT103</f>
        <v/>
      </c>
      <c r="AW103" s="18">
        <f>$J103*AU103</f>
        <v/>
      </c>
      <c r="AX103" s="21" t="inlineStr">
        <is>
          <t>Torque arm already included in unit price</t>
        </is>
      </c>
      <c r="AY103" s="22" t="n"/>
    </row>
    <row r="104">
      <c r="A104" s="10" t="inlineStr">
        <is>
          <t>GB-100</t>
        </is>
      </c>
      <c r="B104" s="10" t="inlineStr">
        <is>
          <t>Helical Bevel</t>
        </is>
      </c>
      <c r="C104" s="10" t="inlineStr">
        <is>
          <t>K / Equivalent</t>
        </is>
      </c>
      <c r="D104" s="10" t="inlineStr">
        <is>
          <t>Supplier selection</t>
        </is>
      </c>
      <c r="E104" s="10" t="n">
        <v>1.5</v>
      </c>
      <c r="F104" s="10" t="inlineStr">
        <is>
          <t>1:15</t>
        </is>
      </c>
      <c r="G104" s="10" t="inlineStr">
        <is>
          <t>Torque-arm / universal</t>
        </is>
      </c>
      <c r="H104" s="10" t="inlineStr">
        <is>
          <t>Hollow shaft, keyed</t>
        </is>
      </c>
      <c r="I104" s="10" t="inlineStr">
        <is>
          <t>IEC motor adaptor/input</t>
        </is>
      </c>
      <c r="J104" s="10" t="n">
        <v>1</v>
      </c>
      <c r="K104" s="11" t="inlineStr">
        <is>
          <t>İRK (helical bevel)</t>
        </is>
      </c>
      <c r="L104" s="12" t="inlineStr">
        <is>
          <t>İRKP 43-TR  i=15.73  + IEC 90 B5</t>
        </is>
      </c>
      <c r="M104" s="13" t="inlineStr">
        <is>
          <t>İRKM 43 / 90 L 4a -TR</t>
        </is>
      </c>
      <c r="N104" s="11" t="n">
        <v>15.73</v>
      </c>
      <c r="O104" s="11" t="n">
        <v>89</v>
      </c>
      <c r="P104" s="11" t="n">
        <v>154</v>
      </c>
      <c r="Q104" s="13" t="inlineStr">
        <is>
          <t>Sf 1.72</t>
        </is>
      </c>
      <c r="R104" s="13" t="inlineStr">
        <is>
          <t>Gearmotor table, 4-pole motor, n1≈1400 rpm</t>
        </is>
      </c>
      <c r="S104" s="13" t="inlineStr">
        <is>
          <t>Hollow shaft, keyed (Ø30 std on 42/43)</t>
        </is>
      </c>
      <c r="T104" s="13" t="inlineStr">
        <is>
          <t>IEC 90 B5 (motor 90 L 4a)</t>
        </is>
      </c>
      <c r="U104" s="13" t="inlineStr">
        <is>
          <t>TR/TL torque arm (include); SDL/SDR shrink disc; H retaining washer; OC output cover</t>
        </is>
      </c>
      <c r="V104" s="13" t="inlineStr">
        <is>
          <t>IRK 2024: ratings p.70; dims p.139-140</t>
        </is>
      </c>
      <c r="W104" s="13" t="inlineStr">
        <is>
          <t>Smallest housing with Sf ≥ 1.5 at 1.5 kW / 1400 rpm. Ratio deviation +4.9% vs 1:15. Larger alternatives: 63 (i=15.04, Sf=2.4); 73 (i=15.53, Sf=4.4). Catalogue gives identical ratings for 42/52 and 43/53 (same dim. pages 139-140); smaller designation used.</t>
        </is>
      </c>
      <c r="X104" s="14" t="inlineStr">
        <is>
          <t>IRKP 43 – IEC 90 B5 / B14 + torque arm</t>
        </is>
      </c>
      <c r="Y104" s="15" t="inlineStr">
        <is>
          <t>p.31 (IRKP series) + p.30 (IRK options)</t>
        </is>
      </c>
      <c r="Z104" s="15" t="inlineStr">
        <is>
          <t>YES</t>
        </is>
      </c>
      <c r="AA104" s="15" t="inlineStr">
        <is>
          <t>IRKP gear unit €382.00 (hollow shaft) + torque arm €26.00</t>
        </is>
      </c>
      <c r="AB104" s="16" t="n">
        <v>408</v>
      </c>
      <c r="AC104" s="17">
        <f>$J104*AB104</f>
        <v/>
      </c>
      <c r="AD104" s="18">
        <f>ROUND(AB104*(1-$L$2),2)</f>
        <v/>
      </c>
      <c r="AE104" s="18">
        <f>$J104*AD104</f>
        <v/>
      </c>
      <c r="AF104" s="17" t="n"/>
      <c r="AG104" s="17" t="n"/>
      <c r="AH104" s="17" t="n"/>
      <c r="AI104" s="17" t="n"/>
      <c r="AJ104" s="17" t="n"/>
      <c r="AK104" s="17" t="n"/>
      <c r="AL104" s="19" t="n">
        <v>54</v>
      </c>
      <c r="AM104" s="20">
        <f>ROUND(AL104*(1-$L$2),2)</f>
        <v/>
      </c>
      <c r="AN104" s="17" t="n"/>
      <c r="AO104" s="17" t="n"/>
      <c r="AP104" s="17">
        <f>SUM(AF104,AH104,AJ104,AL104,AN104)</f>
        <v/>
      </c>
      <c r="AQ104" s="17">
        <f>SUM(AG104,AI104,AK104,AM104,AO104)</f>
        <v/>
      </c>
      <c r="AR104" s="17">
        <f>$J104*AP104</f>
        <v/>
      </c>
      <c r="AS104" s="17">
        <f>$J104*AQ104</f>
        <v/>
      </c>
      <c r="AT104" s="17">
        <f>AB104+AP104</f>
        <v/>
      </c>
      <c r="AU104" s="18">
        <f>AD104+AQ104</f>
        <v/>
      </c>
      <c r="AV104" s="17">
        <f>$J104*AT104</f>
        <v/>
      </c>
      <c r="AW104" s="18">
        <f>$J104*AU104</f>
        <v/>
      </c>
      <c r="AX104" s="21" t="inlineStr">
        <is>
          <t>Torque arm already included in unit price</t>
        </is>
      </c>
      <c r="AY104" s="22" t="n"/>
    </row>
    <row r="105">
      <c r="A105" s="10" t="inlineStr">
        <is>
          <t>GB-101</t>
        </is>
      </c>
      <c r="B105" s="10" t="inlineStr">
        <is>
          <t>Helical Bevel</t>
        </is>
      </c>
      <c r="C105" s="10" t="inlineStr">
        <is>
          <t>K / Equivalent</t>
        </is>
      </c>
      <c r="D105" s="10" t="inlineStr">
        <is>
          <t>Supplier selection</t>
        </is>
      </c>
      <c r="E105" s="10" t="n">
        <v>1.5</v>
      </c>
      <c r="F105" s="10" t="inlineStr">
        <is>
          <t>1:20</t>
        </is>
      </c>
      <c r="G105" s="10" t="inlineStr">
        <is>
          <t>Torque-arm / universal</t>
        </is>
      </c>
      <c r="H105" s="10" t="inlineStr">
        <is>
          <t>Hollow shaft, keyed</t>
        </is>
      </c>
      <c r="I105" s="10" t="inlineStr">
        <is>
          <t>IEC motor adaptor/input</t>
        </is>
      </c>
      <c r="J105" s="10" t="n">
        <v>1</v>
      </c>
      <c r="K105" s="11" t="inlineStr">
        <is>
          <t>İRK (helical bevel)</t>
        </is>
      </c>
      <c r="L105" s="12" t="inlineStr">
        <is>
          <t>İRKP 63-TR  i=19.11  + IEC 90 B5</t>
        </is>
      </c>
      <c r="M105" s="13" t="inlineStr">
        <is>
          <t>İRKM 63 / 90 L 4a -TR</t>
        </is>
      </c>
      <c r="N105" s="11" t="n">
        <v>19.11</v>
      </c>
      <c r="O105" s="11" t="n">
        <v>73</v>
      </c>
      <c r="P105" s="11" t="n">
        <v>187</v>
      </c>
      <c r="Q105" s="13" t="inlineStr">
        <is>
          <t>Sf 2.0</t>
        </is>
      </c>
      <c r="R105" s="13" t="inlineStr">
        <is>
          <t>Gearmotor table, 4-pole motor, n1≈1400 rpm</t>
        </is>
      </c>
      <c r="S105" s="13" t="inlineStr">
        <is>
          <t>Hollow shaft, keyed</t>
        </is>
      </c>
      <c r="T105" s="13" t="inlineStr">
        <is>
          <t>IEC 90 B5 (motor 90 L 4a)</t>
        </is>
      </c>
      <c r="U105" s="13" t="inlineStr">
        <is>
          <t>TR/TL torque arm (include); SDL/SDR shrink disc; H retaining washer; OC output cover</t>
        </is>
      </c>
      <c r="V105" s="13" t="inlineStr">
        <is>
          <t>IRK 2024: ratings p.69; dims p.143-144</t>
        </is>
      </c>
      <c r="W105" s="13" t="inlineStr">
        <is>
          <t>Smallest housing with Sf ≥ 1.5 at 1.5 kW / 1400 rpm. Ratio deviation -4.5% vs 1:20. Larger alternatives: 73 (i=19.51, Sf=3.9).</t>
        </is>
      </c>
      <c r="X105" s="14" t="inlineStr">
        <is>
          <t>IRKP 63 – IEC 90 B5 / B14 + torque arm</t>
        </is>
      </c>
      <c r="Y105" s="15" t="inlineStr">
        <is>
          <t>p.31 (IRKP series) + p.30 (IRK options)</t>
        </is>
      </c>
      <c r="Z105" s="15" t="inlineStr">
        <is>
          <t>YES</t>
        </is>
      </c>
      <c r="AA105" s="15" t="inlineStr">
        <is>
          <t>IRKP gear unit €493.00 (hollow shaft) + torque arm €39.00</t>
        </is>
      </c>
      <c r="AB105" s="16" t="n">
        <v>532</v>
      </c>
      <c r="AC105" s="17">
        <f>$J105*AB105</f>
        <v/>
      </c>
      <c r="AD105" s="18">
        <f>ROUND(AB105*(1-$L$2),2)</f>
        <v/>
      </c>
      <c r="AE105" s="18">
        <f>$J105*AD105</f>
        <v/>
      </c>
      <c r="AF105" s="17" t="n"/>
      <c r="AG105" s="17" t="n"/>
      <c r="AH105" s="17" t="n"/>
      <c r="AI105" s="17" t="n"/>
      <c r="AJ105" s="17" t="n"/>
      <c r="AK105" s="17" t="n"/>
      <c r="AL105" s="19" t="n">
        <v>68</v>
      </c>
      <c r="AM105" s="20">
        <f>ROUND(AL105*(1-$L$2),2)</f>
        <v/>
      </c>
      <c r="AN105" s="17" t="n"/>
      <c r="AO105" s="17" t="n"/>
      <c r="AP105" s="17">
        <f>SUM(AF105,AH105,AJ105,AL105,AN105)</f>
        <v/>
      </c>
      <c r="AQ105" s="17">
        <f>SUM(AG105,AI105,AK105,AM105,AO105)</f>
        <v/>
      </c>
      <c r="AR105" s="17">
        <f>$J105*AP105</f>
        <v/>
      </c>
      <c r="AS105" s="17">
        <f>$J105*AQ105</f>
        <v/>
      </c>
      <c r="AT105" s="17">
        <f>AB105+AP105</f>
        <v/>
      </c>
      <c r="AU105" s="18">
        <f>AD105+AQ105</f>
        <v/>
      </c>
      <c r="AV105" s="17">
        <f>$J105*AT105</f>
        <v/>
      </c>
      <c r="AW105" s="18">
        <f>$J105*AU105</f>
        <v/>
      </c>
      <c r="AX105" s="21" t="inlineStr">
        <is>
          <t>Torque arm already included in unit price</t>
        </is>
      </c>
      <c r="AY105" s="22" t="n"/>
    </row>
    <row r="106">
      <c r="A106" s="10" t="inlineStr">
        <is>
          <t>GB-102</t>
        </is>
      </c>
      <c r="B106" s="10" t="inlineStr">
        <is>
          <t>Helical Bevel</t>
        </is>
      </c>
      <c r="C106" s="10" t="inlineStr">
        <is>
          <t>K / Equivalent</t>
        </is>
      </c>
      <c r="D106" s="10" t="inlineStr">
        <is>
          <t>Supplier selection</t>
        </is>
      </c>
      <c r="E106" s="10" t="n">
        <v>1.5</v>
      </c>
      <c r="F106" s="10" t="inlineStr">
        <is>
          <t>1:30</t>
        </is>
      </c>
      <c r="G106" s="10" t="inlineStr">
        <is>
          <t>Torque-arm / universal</t>
        </is>
      </c>
      <c r="H106" s="10" t="inlineStr">
        <is>
          <t>Hollow shaft, keyed</t>
        </is>
      </c>
      <c r="I106" s="10" t="inlineStr">
        <is>
          <t>IEC motor adaptor/input</t>
        </is>
      </c>
      <c r="J106" s="10" t="n">
        <v>1</v>
      </c>
      <c r="K106" s="11" t="inlineStr">
        <is>
          <t>İRK (helical bevel)</t>
        </is>
      </c>
      <c r="L106" s="12" t="inlineStr">
        <is>
          <t>İRKP 73-TR  i=28.39  + IEC 90 B5</t>
        </is>
      </c>
      <c r="M106" s="13" t="inlineStr">
        <is>
          <t>İRKM 73 / 90 L 4a -TR</t>
        </is>
      </c>
      <c r="N106" s="11" t="n">
        <v>28.39</v>
      </c>
      <c r="O106" s="11" t="n">
        <v>49</v>
      </c>
      <c r="P106" s="11" t="n">
        <v>278</v>
      </c>
      <c r="Q106" s="13" t="inlineStr">
        <is>
          <t>Sf 2.9</t>
        </is>
      </c>
      <c r="R106" s="13" t="inlineStr">
        <is>
          <t>Gearmotor table, 4-pole motor, n1≈1400 rpm</t>
        </is>
      </c>
      <c r="S106" s="13" t="inlineStr">
        <is>
          <t>Hollow shaft, keyed</t>
        </is>
      </c>
      <c r="T106" s="13" t="inlineStr">
        <is>
          <t>IEC 90 B5 (motor 90 L 4a)</t>
        </is>
      </c>
      <c r="U106" s="13" t="inlineStr">
        <is>
          <t>TR/TL torque arm (include); SDL/SDR shrink disc; H retaining washer; OC output cover</t>
        </is>
      </c>
      <c r="V106" s="13" t="inlineStr">
        <is>
          <t>IRK 2024: ratings p.69; dims p.147-148</t>
        </is>
      </c>
      <c r="W106" s="13" t="inlineStr">
        <is>
          <t>Smallest housing with Sf ≥ 1.5 at 1.5 kW / 1400 rpm. Ratio deviation -5.4% vs 1:30.</t>
        </is>
      </c>
      <c r="X106" s="14" t="inlineStr">
        <is>
          <t>IRKP 73 – IEC 90 B5 / B14 + torque arm</t>
        </is>
      </c>
      <c r="Y106" s="15" t="inlineStr">
        <is>
          <t>p.31 (IRKP series) + p.30 (IRK options)</t>
        </is>
      </c>
      <c r="Z106" s="15" t="inlineStr">
        <is>
          <t>YES</t>
        </is>
      </c>
      <c r="AA106" s="15" t="inlineStr">
        <is>
          <t>IRKP gear unit €786.00 (hollow shaft) + torque arm €53.00</t>
        </is>
      </c>
      <c r="AB106" s="16" t="n">
        <v>839</v>
      </c>
      <c r="AC106" s="17">
        <f>$J106*AB106</f>
        <v/>
      </c>
      <c r="AD106" s="18">
        <f>ROUND(AB106*(1-$L$2),2)</f>
        <v/>
      </c>
      <c r="AE106" s="18">
        <f>$J106*AD106</f>
        <v/>
      </c>
      <c r="AF106" s="17" t="n"/>
      <c r="AG106" s="17" t="n"/>
      <c r="AH106" s="17" t="n"/>
      <c r="AI106" s="17" t="n"/>
      <c r="AJ106" s="17" t="n"/>
      <c r="AK106" s="17" t="n"/>
      <c r="AL106" s="19" t="n">
        <v>103</v>
      </c>
      <c r="AM106" s="20">
        <f>ROUND(AL106*(1-$L$2),2)</f>
        <v/>
      </c>
      <c r="AN106" s="17" t="n"/>
      <c r="AO106" s="17" t="n"/>
      <c r="AP106" s="17">
        <f>SUM(AF106,AH106,AJ106,AL106,AN106)</f>
        <v/>
      </c>
      <c r="AQ106" s="17">
        <f>SUM(AG106,AI106,AK106,AM106,AO106)</f>
        <v/>
      </c>
      <c r="AR106" s="17">
        <f>$J106*AP106</f>
        <v/>
      </c>
      <c r="AS106" s="17">
        <f>$J106*AQ106</f>
        <v/>
      </c>
      <c r="AT106" s="17">
        <f>AB106+AP106</f>
        <v/>
      </c>
      <c r="AU106" s="18">
        <f>AD106+AQ106</f>
        <v/>
      </c>
      <c r="AV106" s="17">
        <f>$J106*AT106</f>
        <v/>
      </c>
      <c r="AW106" s="18">
        <f>$J106*AU106</f>
        <v/>
      </c>
      <c r="AX106" s="21" t="inlineStr">
        <is>
          <t>Torque arm already included in unit price</t>
        </is>
      </c>
      <c r="AY106" s="22" t="n"/>
    </row>
    <row r="107">
      <c r="A107" s="10" t="inlineStr">
        <is>
          <t>GB-103</t>
        </is>
      </c>
      <c r="B107" s="10" t="inlineStr">
        <is>
          <t>Helical Bevel</t>
        </is>
      </c>
      <c r="C107" s="10" t="inlineStr">
        <is>
          <t>K / Equivalent</t>
        </is>
      </c>
      <c r="D107" s="10" t="inlineStr">
        <is>
          <t>Supplier selection</t>
        </is>
      </c>
      <c r="E107" s="10" t="n">
        <v>1.5</v>
      </c>
      <c r="F107" s="10" t="inlineStr">
        <is>
          <t>1:40</t>
        </is>
      </c>
      <c r="G107" s="10" t="inlineStr">
        <is>
          <t>Torque-arm / universal</t>
        </is>
      </c>
      <c r="H107" s="10" t="inlineStr">
        <is>
          <t>Hollow shaft, keyed</t>
        </is>
      </c>
      <c r="I107" s="10" t="inlineStr">
        <is>
          <t>IEC motor adaptor/input</t>
        </is>
      </c>
      <c r="J107" s="10" t="n">
        <v>1</v>
      </c>
      <c r="K107" s="11" t="inlineStr">
        <is>
          <t>İRK (helical bevel)</t>
        </is>
      </c>
      <c r="L107" s="12" t="inlineStr">
        <is>
          <t>İRKP 73-TR  i=42.21  + IEC 90 B5</t>
        </is>
      </c>
      <c r="M107" s="13" t="inlineStr">
        <is>
          <t>İRKM 73 / 90 L 4a -TR</t>
        </is>
      </c>
      <c r="N107" s="11" t="n">
        <v>42.21</v>
      </c>
      <c r="O107" s="11" t="n">
        <v>33</v>
      </c>
      <c r="P107" s="11" t="n">
        <v>413</v>
      </c>
      <c r="Q107" s="13" t="inlineStr">
        <is>
          <t>Sf 1.98</t>
        </is>
      </c>
      <c r="R107" s="13" t="inlineStr">
        <is>
          <t>Gearmotor table, 4-pole motor, n1≈1400 rpm</t>
        </is>
      </c>
      <c r="S107" s="13" t="inlineStr">
        <is>
          <t>Hollow shaft, keyed</t>
        </is>
      </c>
      <c r="T107" s="13" t="inlineStr">
        <is>
          <t>IEC 90 B5 (motor 90 L 4a)</t>
        </is>
      </c>
      <c r="U107" s="13" t="inlineStr">
        <is>
          <t>TR/TL torque arm (include); SDL/SDR shrink disc; H retaining washer; OC output cover</t>
        </is>
      </c>
      <c r="V107" s="13" t="inlineStr">
        <is>
          <t>IRK 2024: ratings p.69; dims p.147-148</t>
        </is>
      </c>
      <c r="W107" s="13" t="inlineStr">
        <is>
          <t>Smallest housing with Sf ≥ 1.5 at 1.5 kW / 1400 rpm. Ratio deviation +5.5% vs 1:40. Larger alternatives: 83 (i=37.93, Sf=3.7).</t>
        </is>
      </c>
      <c r="X107" s="14" t="inlineStr">
        <is>
          <t>IRKP 73 – IEC 90 B5 / B14 + torque arm</t>
        </is>
      </c>
      <c r="Y107" s="15" t="inlineStr">
        <is>
          <t>p.31 (IRKP series) + p.30 (IRK options)</t>
        </is>
      </c>
      <c r="Z107" s="15" t="inlineStr">
        <is>
          <t>YES</t>
        </is>
      </c>
      <c r="AA107" s="15" t="inlineStr">
        <is>
          <t>IRKP gear unit €786.00 (hollow shaft) + torque arm €53.00</t>
        </is>
      </c>
      <c r="AB107" s="16" t="n">
        <v>839</v>
      </c>
      <c r="AC107" s="17">
        <f>$J107*AB107</f>
        <v/>
      </c>
      <c r="AD107" s="18">
        <f>ROUND(AB107*(1-$L$2),2)</f>
        <v/>
      </c>
      <c r="AE107" s="18">
        <f>$J107*AD107</f>
        <v/>
      </c>
      <c r="AF107" s="17" t="n"/>
      <c r="AG107" s="17" t="n"/>
      <c r="AH107" s="17" t="n"/>
      <c r="AI107" s="17" t="n"/>
      <c r="AJ107" s="17" t="n"/>
      <c r="AK107" s="17" t="n"/>
      <c r="AL107" s="19" t="n">
        <v>103</v>
      </c>
      <c r="AM107" s="20">
        <f>ROUND(AL107*(1-$L$2),2)</f>
        <v/>
      </c>
      <c r="AN107" s="17" t="n"/>
      <c r="AO107" s="17" t="n"/>
      <c r="AP107" s="17">
        <f>SUM(AF107,AH107,AJ107,AL107,AN107)</f>
        <v/>
      </c>
      <c r="AQ107" s="17">
        <f>SUM(AG107,AI107,AK107,AM107,AO107)</f>
        <v/>
      </c>
      <c r="AR107" s="17">
        <f>$J107*AP107</f>
        <v/>
      </c>
      <c r="AS107" s="17">
        <f>$J107*AQ107</f>
        <v/>
      </c>
      <c r="AT107" s="17">
        <f>AB107+AP107</f>
        <v/>
      </c>
      <c r="AU107" s="18">
        <f>AD107+AQ107</f>
        <v/>
      </c>
      <c r="AV107" s="17">
        <f>$J107*AT107</f>
        <v/>
      </c>
      <c r="AW107" s="18">
        <f>$J107*AU107</f>
        <v/>
      </c>
      <c r="AX107" s="21" t="inlineStr">
        <is>
          <t>Torque arm already included in unit price</t>
        </is>
      </c>
      <c r="AY107" s="22" t="n"/>
    </row>
    <row r="108">
      <c r="A108" s="10" t="inlineStr">
        <is>
          <t>GB-104</t>
        </is>
      </c>
      <c r="B108" s="10" t="inlineStr">
        <is>
          <t>Helical Bevel</t>
        </is>
      </c>
      <c r="C108" s="10" t="inlineStr">
        <is>
          <t>K / Equivalent</t>
        </is>
      </c>
      <c r="D108" s="10" t="inlineStr">
        <is>
          <t>Supplier selection</t>
        </is>
      </c>
      <c r="E108" s="10" t="n">
        <v>2.2</v>
      </c>
      <c r="F108" s="10" t="inlineStr">
        <is>
          <t>1:10</t>
        </is>
      </c>
      <c r="G108" s="10" t="inlineStr">
        <is>
          <t>Torque-arm / universal</t>
        </is>
      </c>
      <c r="H108" s="10" t="inlineStr">
        <is>
          <t>Hollow shaft, keyed</t>
        </is>
      </c>
      <c r="I108" s="10" t="inlineStr">
        <is>
          <t>IEC motor adaptor/input</t>
        </is>
      </c>
      <c r="J108" s="10" t="n">
        <v>1</v>
      </c>
      <c r="K108" s="11" t="inlineStr">
        <is>
          <t>İRK (helical bevel)</t>
        </is>
      </c>
      <c r="L108" s="12" t="inlineStr">
        <is>
          <t>İRKP 63-TR  i=10.44  + IEC 100 B5</t>
        </is>
      </c>
      <c r="M108" s="13" t="inlineStr">
        <is>
          <t>İRKM 63 / 100 L 4a -TR</t>
        </is>
      </c>
      <c r="N108" s="11" t="n">
        <v>10.44</v>
      </c>
      <c r="O108" s="11" t="n">
        <v>134</v>
      </c>
      <c r="P108" s="11" t="n">
        <v>150</v>
      </c>
      <c r="Q108" s="13" t="inlineStr">
        <is>
          <t>Sf 1.84</t>
        </is>
      </c>
      <c r="R108" s="13" t="inlineStr">
        <is>
          <t>Gearmotor table, 4-pole motor, n1≈1400 rpm</t>
        </is>
      </c>
      <c r="S108" s="13" t="inlineStr">
        <is>
          <t>Hollow shaft, keyed</t>
        </is>
      </c>
      <c r="T108" s="13" t="inlineStr">
        <is>
          <t>IEC 100 B5 (motor 100 L 4a)</t>
        </is>
      </c>
      <c r="U108" s="13" t="inlineStr">
        <is>
          <t>TR/TL torque arm (include); SDL/SDR shrink disc; H retaining washer; OC output cover</t>
        </is>
      </c>
      <c r="V108" s="13" t="inlineStr">
        <is>
          <t>IRK 2024: ratings p.73; dims p.143-144</t>
        </is>
      </c>
      <c r="W108" s="13" t="inlineStr">
        <is>
          <t>Smallest housing with Sf ≥ 1.5 at 2.2 kW / 1400 rpm. Ratio deviation +4.4% vs 1:10. Larger alternatives: 73 (i=10.38, Sf=3.5).</t>
        </is>
      </c>
      <c r="X108" s="14" t="inlineStr">
        <is>
          <t>IRKP 63 – IEC 100 B5 / B14 + torque arm</t>
        </is>
      </c>
      <c r="Y108" s="15" t="inlineStr">
        <is>
          <t>p.31 (IRKP series) + p.30 (IRK options)</t>
        </is>
      </c>
      <c r="Z108" s="15" t="inlineStr">
        <is>
          <t>YES</t>
        </is>
      </c>
      <c r="AA108" s="15" t="inlineStr">
        <is>
          <t>IRKP gear unit €500.00 (hollow shaft) + torque arm €39.00</t>
        </is>
      </c>
      <c r="AB108" s="16" t="n">
        <v>539</v>
      </c>
      <c r="AC108" s="17">
        <f>$J108*AB108</f>
        <v/>
      </c>
      <c r="AD108" s="18">
        <f>ROUND(AB108*(1-$L$2),2)</f>
        <v/>
      </c>
      <c r="AE108" s="18">
        <f>$J108*AD108</f>
        <v/>
      </c>
      <c r="AF108" s="17" t="n"/>
      <c r="AG108" s="17" t="n"/>
      <c r="AH108" s="17" t="n"/>
      <c r="AI108" s="17" t="n"/>
      <c r="AJ108" s="17" t="n"/>
      <c r="AK108" s="17" t="n"/>
      <c r="AL108" s="19" t="n">
        <v>68</v>
      </c>
      <c r="AM108" s="20">
        <f>ROUND(AL108*(1-$L$2),2)</f>
        <v/>
      </c>
      <c r="AN108" s="17" t="n"/>
      <c r="AO108" s="17" t="n"/>
      <c r="AP108" s="17">
        <f>SUM(AF108,AH108,AJ108,AL108,AN108)</f>
        <v/>
      </c>
      <c r="AQ108" s="17">
        <f>SUM(AG108,AI108,AK108,AM108,AO108)</f>
        <v/>
      </c>
      <c r="AR108" s="17">
        <f>$J108*AP108</f>
        <v/>
      </c>
      <c r="AS108" s="17">
        <f>$J108*AQ108</f>
        <v/>
      </c>
      <c r="AT108" s="17">
        <f>AB108+AP108</f>
        <v/>
      </c>
      <c r="AU108" s="18">
        <f>AD108+AQ108</f>
        <v/>
      </c>
      <c r="AV108" s="17">
        <f>$J108*AT108</f>
        <v/>
      </c>
      <c r="AW108" s="18">
        <f>$J108*AU108</f>
        <v/>
      </c>
      <c r="AX108" s="21" t="inlineStr">
        <is>
          <t>Torque arm already included in unit price</t>
        </is>
      </c>
      <c r="AY108" s="22" t="n"/>
    </row>
    <row r="109">
      <c r="A109" s="10" t="inlineStr">
        <is>
          <t>GB-105</t>
        </is>
      </c>
      <c r="B109" s="10" t="inlineStr">
        <is>
          <t>Helical Bevel</t>
        </is>
      </c>
      <c r="C109" s="10" t="inlineStr">
        <is>
          <t>K / Equivalent</t>
        </is>
      </c>
      <c r="D109" s="10" t="inlineStr">
        <is>
          <t>Supplier selection</t>
        </is>
      </c>
      <c r="E109" s="10" t="n">
        <v>2.2</v>
      </c>
      <c r="F109" s="10" t="inlineStr">
        <is>
          <t>1:15</t>
        </is>
      </c>
      <c r="G109" s="10" t="inlineStr">
        <is>
          <t>Torque-arm / universal</t>
        </is>
      </c>
      <c r="H109" s="10" t="inlineStr">
        <is>
          <t>Hollow shaft, keyed</t>
        </is>
      </c>
      <c r="I109" s="10" t="inlineStr">
        <is>
          <t>IEC motor adaptor/input</t>
        </is>
      </c>
      <c r="J109" s="10" t="n">
        <v>1</v>
      </c>
      <c r="K109" s="11" t="inlineStr">
        <is>
          <t>İRK (helical bevel)</t>
        </is>
      </c>
      <c r="L109" s="12" t="inlineStr">
        <is>
          <t>İRKP 63-TR  i=15.04  + IEC 100 B5</t>
        </is>
      </c>
      <c r="M109" s="13" t="inlineStr">
        <is>
          <t>İRKM 63 / 100 L 4a -TR</t>
        </is>
      </c>
      <c r="N109" s="11" t="n">
        <v>15.04</v>
      </c>
      <c r="O109" s="11" t="n">
        <v>93</v>
      </c>
      <c r="P109" s="11" t="n">
        <v>216</v>
      </c>
      <c r="Q109" s="13" t="inlineStr">
        <is>
          <t>Sf 1.64</t>
        </is>
      </c>
      <c r="R109" s="13" t="inlineStr">
        <is>
          <t>Gearmotor table, 4-pole motor, n1≈1400 rpm</t>
        </is>
      </c>
      <c r="S109" s="13" t="inlineStr">
        <is>
          <t>Hollow shaft, keyed</t>
        </is>
      </c>
      <c r="T109" s="13" t="inlineStr">
        <is>
          <t>IEC 100 B5 (motor 100 L 4a)</t>
        </is>
      </c>
      <c r="U109" s="13" t="inlineStr">
        <is>
          <t>TR/TL torque arm (include); SDL/SDR shrink disc; H retaining washer; OC output cover</t>
        </is>
      </c>
      <c r="V109" s="13" t="inlineStr">
        <is>
          <t>IRK 2024: ratings p.73; dims p.143-144</t>
        </is>
      </c>
      <c r="W109" s="13" t="inlineStr">
        <is>
          <t>Smallest housing with Sf ≥ 1.5 at 2.2 kW / 1400 rpm. Ratio deviation +0.3% vs 1:15. Larger alternatives: 73 (i=15.53, Sf=3.0).</t>
        </is>
      </c>
      <c r="X109" s="14" t="inlineStr">
        <is>
          <t>IRKP 63 – IEC 100 B5 / B14 + torque arm</t>
        </is>
      </c>
      <c r="Y109" s="15" t="inlineStr">
        <is>
          <t>p.31 (IRKP series) + p.30 (IRK options)</t>
        </is>
      </c>
      <c r="Z109" s="15" t="inlineStr">
        <is>
          <t>YES</t>
        </is>
      </c>
      <c r="AA109" s="15" t="inlineStr">
        <is>
          <t>IRKP gear unit €500.00 (hollow shaft) + torque arm €39.00</t>
        </is>
      </c>
      <c r="AB109" s="16" t="n">
        <v>539</v>
      </c>
      <c r="AC109" s="17">
        <f>$J109*AB109</f>
        <v/>
      </c>
      <c r="AD109" s="18">
        <f>ROUND(AB109*(1-$L$2),2)</f>
        <v/>
      </c>
      <c r="AE109" s="18">
        <f>$J109*AD109</f>
        <v/>
      </c>
      <c r="AF109" s="17" t="n"/>
      <c r="AG109" s="17" t="n"/>
      <c r="AH109" s="17" t="n"/>
      <c r="AI109" s="17" t="n"/>
      <c r="AJ109" s="17" t="n"/>
      <c r="AK109" s="17" t="n"/>
      <c r="AL109" s="19" t="n">
        <v>68</v>
      </c>
      <c r="AM109" s="20">
        <f>ROUND(AL109*(1-$L$2),2)</f>
        <v/>
      </c>
      <c r="AN109" s="17" t="n"/>
      <c r="AO109" s="17" t="n"/>
      <c r="AP109" s="17">
        <f>SUM(AF109,AH109,AJ109,AL109,AN109)</f>
        <v/>
      </c>
      <c r="AQ109" s="17">
        <f>SUM(AG109,AI109,AK109,AM109,AO109)</f>
        <v/>
      </c>
      <c r="AR109" s="17">
        <f>$J109*AP109</f>
        <v/>
      </c>
      <c r="AS109" s="17">
        <f>$J109*AQ109</f>
        <v/>
      </c>
      <c r="AT109" s="17">
        <f>AB109+AP109</f>
        <v/>
      </c>
      <c r="AU109" s="18">
        <f>AD109+AQ109</f>
        <v/>
      </c>
      <c r="AV109" s="17">
        <f>$J109*AT109</f>
        <v/>
      </c>
      <c r="AW109" s="18">
        <f>$J109*AU109</f>
        <v/>
      </c>
      <c r="AX109" s="21" t="inlineStr">
        <is>
          <t>Torque arm already included in unit price</t>
        </is>
      </c>
      <c r="AY109" s="22" t="n"/>
    </row>
    <row r="110">
      <c r="A110" s="10" t="inlineStr">
        <is>
          <t>GB-106</t>
        </is>
      </c>
      <c r="B110" s="10" t="inlineStr">
        <is>
          <t>Helical Bevel</t>
        </is>
      </c>
      <c r="C110" s="10" t="inlineStr">
        <is>
          <t>K / Equivalent</t>
        </is>
      </c>
      <c r="D110" s="10" t="inlineStr">
        <is>
          <t>Supplier selection</t>
        </is>
      </c>
      <c r="E110" s="10" t="n">
        <v>2.2</v>
      </c>
      <c r="F110" s="10" t="inlineStr">
        <is>
          <t>1:20</t>
        </is>
      </c>
      <c r="G110" s="10" t="inlineStr">
        <is>
          <t>Torque-arm / universal</t>
        </is>
      </c>
      <c r="H110" s="10" t="inlineStr">
        <is>
          <t>Hollow shaft, keyed</t>
        </is>
      </c>
      <c r="I110" s="10" t="inlineStr">
        <is>
          <t>IEC motor adaptor/input</t>
        </is>
      </c>
      <c r="J110" s="10" t="n">
        <v>1</v>
      </c>
      <c r="K110" s="11" t="inlineStr">
        <is>
          <t>İRK (helical bevel)</t>
        </is>
      </c>
      <c r="L110" s="12" t="inlineStr">
        <is>
          <t>İRKP 73-TR  i=19.51  + IEC 100 B5</t>
        </is>
      </c>
      <c r="M110" s="13" t="inlineStr">
        <is>
          <t>İRKM 73 / 100 L 4a -TR</t>
        </is>
      </c>
      <c r="N110" s="11" t="n">
        <v>19.51</v>
      </c>
      <c r="O110" s="11" t="n">
        <v>72</v>
      </c>
      <c r="P110" s="11" t="n">
        <v>280</v>
      </c>
      <c r="Q110" s="13" t="inlineStr">
        <is>
          <t>Sf 2.7</t>
        </is>
      </c>
      <c r="R110" s="13" t="inlineStr">
        <is>
          <t>Gearmotor table, 4-pole motor, n1≈1400 rpm</t>
        </is>
      </c>
      <c r="S110" s="13" t="inlineStr">
        <is>
          <t>Hollow shaft, keyed</t>
        </is>
      </c>
      <c r="T110" s="13" t="inlineStr">
        <is>
          <t>IEC 100 B5 (motor 100 L 4a)</t>
        </is>
      </c>
      <c r="U110" s="13" t="inlineStr">
        <is>
          <t>TR/TL torque arm (include); SDL/SDR shrink disc; H retaining washer; OC output cover</t>
        </is>
      </c>
      <c r="V110" s="13" t="inlineStr">
        <is>
          <t>IRK 2024: ratings p.72; dims p.147-148</t>
        </is>
      </c>
      <c r="W110" s="13" t="inlineStr">
        <is>
          <t>Smallest housing with Sf ≥ 1.5 at 2.2 kW / 1400 rpm. Ratio deviation -2.4% vs 1:20.</t>
        </is>
      </c>
      <c r="X110" s="14" t="inlineStr">
        <is>
          <t>IRKP 73 – IEC 100 B5 / B14 + torque arm</t>
        </is>
      </c>
      <c r="Y110" s="15" t="inlineStr">
        <is>
          <t>p.31 (IRKP series) + p.30 (IRK options)</t>
        </is>
      </c>
      <c r="Z110" s="15" t="inlineStr">
        <is>
          <t>YES</t>
        </is>
      </c>
      <c r="AA110" s="15" t="inlineStr">
        <is>
          <t>IRKP gear unit €803.00 (hollow shaft) + torque arm €53.00</t>
        </is>
      </c>
      <c r="AB110" s="16" t="n">
        <v>856</v>
      </c>
      <c r="AC110" s="17">
        <f>$J110*AB110</f>
        <v/>
      </c>
      <c r="AD110" s="18">
        <f>ROUND(AB110*(1-$L$2),2)</f>
        <v/>
      </c>
      <c r="AE110" s="18">
        <f>$J110*AD110</f>
        <v/>
      </c>
      <c r="AF110" s="17" t="n"/>
      <c r="AG110" s="17" t="n"/>
      <c r="AH110" s="17" t="n"/>
      <c r="AI110" s="17" t="n"/>
      <c r="AJ110" s="17" t="n"/>
      <c r="AK110" s="17" t="n"/>
      <c r="AL110" s="19" t="n">
        <v>103</v>
      </c>
      <c r="AM110" s="20">
        <f>ROUND(AL110*(1-$L$2),2)</f>
        <v/>
      </c>
      <c r="AN110" s="17" t="n"/>
      <c r="AO110" s="17" t="n"/>
      <c r="AP110" s="17">
        <f>SUM(AF110,AH110,AJ110,AL110,AN110)</f>
        <v/>
      </c>
      <c r="AQ110" s="17">
        <f>SUM(AG110,AI110,AK110,AM110,AO110)</f>
        <v/>
      </c>
      <c r="AR110" s="17">
        <f>$J110*AP110</f>
        <v/>
      </c>
      <c r="AS110" s="17">
        <f>$J110*AQ110</f>
        <v/>
      </c>
      <c r="AT110" s="17">
        <f>AB110+AP110</f>
        <v/>
      </c>
      <c r="AU110" s="18">
        <f>AD110+AQ110</f>
        <v/>
      </c>
      <c r="AV110" s="17">
        <f>$J110*AT110</f>
        <v/>
      </c>
      <c r="AW110" s="18">
        <f>$J110*AU110</f>
        <v/>
      </c>
      <c r="AX110" s="21" t="inlineStr">
        <is>
          <t>Torque arm already included in unit price</t>
        </is>
      </c>
      <c r="AY110" s="22" t="n"/>
    </row>
    <row r="111">
      <c r="A111" s="10" t="inlineStr">
        <is>
          <t>GB-107</t>
        </is>
      </c>
      <c r="B111" s="10" t="inlineStr">
        <is>
          <t>Helical Bevel</t>
        </is>
      </c>
      <c r="C111" s="10" t="inlineStr">
        <is>
          <t>K / Equivalent</t>
        </is>
      </c>
      <c r="D111" s="10" t="inlineStr">
        <is>
          <t>Supplier selection</t>
        </is>
      </c>
      <c r="E111" s="10" t="n">
        <v>2.2</v>
      </c>
      <c r="F111" s="10" t="inlineStr">
        <is>
          <t>1:30</t>
        </is>
      </c>
      <c r="G111" s="10" t="inlineStr">
        <is>
          <t>Torque-arm / universal</t>
        </is>
      </c>
      <c r="H111" s="10" t="inlineStr">
        <is>
          <t>Hollow shaft, keyed</t>
        </is>
      </c>
      <c r="I111" s="10" t="inlineStr">
        <is>
          <t>IEC motor adaptor/input</t>
        </is>
      </c>
      <c r="J111" s="10" t="n">
        <v>1</v>
      </c>
      <c r="K111" s="11" t="inlineStr">
        <is>
          <t>İRK (helical bevel)</t>
        </is>
      </c>
      <c r="L111" s="12" t="inlineStr">
        <is>
          <t>İRKP 83-TR  i=31.34  + IEC 100 B5</t>
        </is>
      </c>
      <c r="M111" s="13" t="inlineStr">
        <is>
          <t>İRKM 83 / 100 L 4a -TR</t>
        </is>
      </c>
      <c r="N111" s="11" t="n">
        <v>31.34</v>
      </c>
      <c r="O111" s="11" t="n">
        <v>45</v>
      </c>
      <c r="P111" s="11" t="n">
        <v>450</v>
      </c>
      <c r="Q111" s="13" t="inlineStr">
        <is>
          <t>Sf 3.3</t>
        </is>
      </c>
      <c r="R111" s="13" t="inlineStr">
        <is>
          <t>Gearmotor table, 4-pole motor, n1≈1400 rpm</t>
        </is>
      </c>
      <c r="S111" s="13" t="inlineStr">
        <is>
          <t>Hollow shaft, keyed</t>
        </is>
      </c>
      <c r="T111" s="13" t="inlineStr">
        <is>
          <t>IEC 100 B5 (motor 100 L 4a)</t>
        </is>
      </c>
      <c r="U111" s="13" t="inlineStr">
        <is>
          <t>TR/TL torque arm (include); SDL/SDR shrink disc; H retaining washer; OC output cover</t>
        </is>
      </c>
      <c r="V111" s="13" t="inlineStr">
        <is>
          <t>IRK 2024: ratings p.72; dims p.153-154</t>
        </is>
      </c>
      <c r="W111" s="13" t="inlineStr">
        <is>
          <t>Smallest housing with Sf ≥ 1.5 at 2.2 kW / 1400 rpm. Ratio deviation +4.5% vs 1:30.</t>
        </is>
      </c>
      <c r="X111" s="14" t="inlineStr">
        <is>
          <t>IRKP 83 – IEC 100 B5 / B14 + torque arm</t>
        </is>
      </c>
      <c r="Y111" s="15" t="inlineStr">
        <is>
          <t>p.32 (IRKP series) + p.30 (IRK options)</t>
        </is>
      </c>
      <c r="Z111" s="15" t="inlineStr">
        <is>
          <t>YES</t>
        </is>
      </c>
      <c r="AA111" s="15" t="inlineStr">
        <is>
          <t>IRKP gear unit €1,195.00 (hollow shaft) + torque arm €59.00</t>
        </is>
      </c>
      <c r="AB111" s="16" t="n">
        <v>1254</v>
      </c>
      <c r="AC111" s="17">
        <f>$J111*AB111</f>
        <v/>
      </c>
      <c r="AD111" s="18">
        <f>ROUND(AB111*(1-$L$2),2)</f>
        <v/>
      </c>
      <c r="AE111" s="18">
        <f>$J111*AD111</f>
        <v/>
      </c>
      <c r="AF111" s="17" t="n"/>
      <c r="AG111" s="17" t="n"/>
      <c r="AH111" s="17" t="n"/>
      <c r="AI111" s="17" t="n"/>
      <c r="AJ111" s="17" t="n"/>
      <c r="AK111" s="17" t="n"/>
      <c r="AL111" s="19" t="n">
        <v>162</v>
      </c>
      <c r="AM111" s="20">
        <f>ROUND(AL111*(1-$L$2),2)</f>
        <v/>
      </c>
      <c r="AN111" s="17" t="n"/>
      <c r="AO111" s="17" t="n"/>
      <c r="AP111" s="17">
        <f>SUM(AF111,AH111,AJ111,AL111,AN111)</f>
        <v/>
      </c>
      <c r="AQ111" s="17">
        <f>SUM(AG111,AI111,AK111,AM111,AO111)</f>
        <v/>
      </c>
      <c r="AR111" s="17">
        <f>$J111*AP111</f>
        <v/>
      </c>
      <c r="AS111" s="17">
        <f>$J111*AQ111</f>
        <v/>
      </c>
      <c r="AT111" s="17">
        <f>AB111+AP111</f>
        <v/>
      </c>
      <c r="AU111" s="18">
        <f>AD111+AQ111</f>
        <v/>
      </c>
      <c r="AV111" s="17">
        <f>$J111*AT111</f>
        <v/>
      </c>
      <c r="AW111" s="18">
        <f>$J111*AU111</f>
        <v/>
      </c>
      <c r="AX111" s="21" t="inlineStr">
        <is>
          <t>Torque arm already included in unit price</t>
        </is>
      </c>
      <c r="AY111" s="22" t="n"/>
    </row>
    <row r="112">
      <c r="A112" s="10" t="inlineStr">
        <is>
          <t>GB-108</t>
        </is>
      </c>
      <c r="B112" s="10" t="inlineStr">
        <is>
          <t>Helical Bevel</t>
        </is>
      </c>
      <c r="C112" s="10" t="inlineStr">
        <is>
          <t>K / Equivalent</t>
        </is>
      </c>
      <c r="D112" s="10" t="inlineStr">
        <is>
          <t>Supplier selection</t>
        </is>
      </c>
      <c r="E112" s="10" t="n">
        <v>2.2</v>
      </c>
      <c r="F112" s="10" t="inlineStr">
        <is>
          <t>1:40</t>
        </is>
      </c>
      <c r="G112" s="10" t="inlineStr">
        <is>
          <t>Torque-arm / universal</t>
        </is>
      </c>
      <c r="H112" s="10" t="inlineStr">
        <is>
          <t>Hollow shaft, keyed</t>
        </is>
      </c>
      <c r="I112" s="10" t="inlineStr">
        <is>
          <t>IEC motor adaptor/input</t>
        </is>
      </c>
      <c r="J112" s="10" t="n">
        <v>1</v>
      </c>
      <c r="K112" s="11" t="inlineStr">
        <is>
          <t>İRK (helical bevel)</t>
        </is>
      </c>
      <c r="L112" s="12" t="inlineStr">
        <is>
          <t>İRKP 83-TR  i=37.93  + IEC 100 B5</t>
        </is>
      </c>
      <c r="M112" s="13" t="inlineStr">
        <is>
          <t>İRKM 83 / 100 L 4a -TR</t>
        </is>
      </c>
      <c r="N112" s="11" t="n">
        <v>37.93</v>
      </c>
      <c r="O112" s="11" t="n">
        <v>37</v>
      </c>
      <c r="P112" s="11" t="n">
        <v>544</v>
      </c>
      <c r="Q112" s="13" t="inlineStr">
        <is>
          <t>Sf 2.5</t>
        </is>
      </c>
      <c r="R112" s="13" t="inlineStr">
        <is>
          <t>Gearmotor table, 4-pole motor, n1≈1400 rpm</t>
        </is>
      </c>
      <c r="S112" s="13" t="inlineStr">
        <is>
          <t>Hollow shaft, keyed</t>
        </is>
      </c>
      <c r="T112" s="13" t="inlineStr">
        <is>
          <t>IEC 100 B5 (motor 100 L 4a)</t>
        </is>
      </c>
      <c r="U112" s="13" t="inlineStr">
        <is>
          <t>TR/TL torque arm (include); SDL/SDR shrink disc; H retaining washer; OC output cover</t>
        </is>
      </c>
      <c r="V112" s="13" t="inlineStr">
        <is>
          <t>IRK 2024: ratings p.72; dims p.153-154</t>
        </is>
      </c>
      <c r="W112" s="13" t="inlineStr">
        <is>
          <t>Smallest housing with Sf ≥ 1.5 at 2.2 kW / 1400 rpm. Ratio deviation -5.2% vs 1:40. Larger alternatives: 93 (i=43.03, Sf=4.3).</t>
        </is>
      </c>
      <c r="X112" s="14" t="inlineStr">
        <is>
          <t>IRKP 83 – IEC 100 B5 / B14 + torque arm</t>
        </is>
      </c>
      <c r="Y112" s="15" t="inlineStr">
        <is>
          <t>p.32 (IRKP series) + p.30 (IRK options)</t>
        </is>
      </c>
      <c r="Z112" s="15" t="inlineStr">
        <is>
          <t>YES</t>
        </is>
      </c>
      <c r="AA112" s="15" t="inlineStr">
        <is>
          <t>IRKP gear unit €1,195.00 (hollow shaft) + torque arm €59.00</t>
        </is>
      </c>
      <c r="AB112" s="16" t="n">
        <v>1254</v>
      </c>
      <c r="AC112" s="17">
        <f>$J112*AB112</f>
        <v/>
      </c>
      <c r="AD112" s="18">
        <f>ROUND(AB112*(1-$L$2),2)</f>
        <v/>
      </c>
      <c r="AE112" s="18">
        <f>$J112*AD112</f>
        <v/>
      </c>
      <c r="AF112" s="17" t="n"/>
      <c r="AG112" s="17" t="n"/>
      <c r="AH112" s="17" t="n"/>
      <c r="AI112" s="17" t="n"/>
      <c r="AJ112" s="17" t="n"/>
      <c r="AK112" s="17" t="n"/>
      <c r="AL112" s="19" t="n">
        <v>162</v>
      </c>
      <c r="AM112" s="20">
        <f>ROUND(AL112*(1-$L$2),2)</f>
        <v/>
      </c>
      <c r="AN112" s="17" t="n"/>
      <c r="AO112" s="17" t="n"/>
      <c r="AP112" s="17">
        <f>SUM(AF112,AH112,AJ112,AL112,AN112)</f>
        <v/>
      </c>
      <c r="AQ112" s="17">
        <f>SUM(AG112,AI112,AK112,AM112,AO112)</f>
        <v/>
      </c>
      <c r="AR112" s="17">
        <f>$J112*AP112</f>
        <v/>
      </c>
      <c r="AS112" s="17">
        <f>$J112*AQ112</f>
        <v/>
      </c>
      <c r="AT112" s="17">
        <f>AB112+AP112</f>
        <v/>
      </c>
      <c r="AU112" s="18">
        <f>AD112+AQ112</f>
        <v/>
      </c>
      <c r="AV112" s="17">
        <f>$J112*AT112</f>
        <v/>
      </c>
      <c r="AW112" s="18">
        <f>$J112*AU112</f>
        <v/>
      </c>
      <c r="AX112" s="21" t="inlineStr">
        <is>
          <t>Torque arm already included in unit price</t>
        </is>
      </c>
      <c r="AY112" s="22" t="n"/>
    </row>
    <row r="113">
      <c r="A113" s="10" t="inlineStr">
        <is>
          <t>GB-109</t>
        </is>
      </c>
      <c r="B113" s="10" t="inlineStr">
        <is>
          <t>Helical Bevel</t>
        </is>
      </c>
      <c r="C113" s="10" t="inlineStr">
        <is>
          <t>K / Equivalent</t>
        </is>
      </c>
      <c r="D113" s="10" t="inlineStr">
        <is>
          <t>Supplier selection</t>
        </is>
      </c>
      <c r="E113" s="10" t="n">
        <v>3</v>
      </c>
      <c r="F113" s="10" t="inlineStr">
        <is>
          <t>1:15</t>
        </is>
      </c>
      <c r="G113" s="10" t="inlineStr">
        <is>
          <t>Foot mounted</t>
        </is>
      </c>
      <c r="H113" s="10" t="inlineStr">
        <is>
          <t>Solid output shaft</t>
        </is>
      </c>
      <c r="I113" s="10" t="inlineStr">
        <is>
          <t>IEC motor adaptor/input</t>
        </is>
      </c>
      <c r="J113" s="10" t="n">
        <v>1</v>
      </c>
      <c r="K113" s="11" t="inlineStr">
        <is>
          <t>İRK (helical bevel)</t>
        </is>
      </c>
      <c r="L113" s="12" t="inlineStr">
        <is>
          <t>İRKP 73-SR  i=15.53  + IEC 100 B5 (foot mounted)</t>
        </is>
      </c>
      <c r="M113" s="13" t="inlineStr">
        <is>
          <t>İRKM 73 / 100 L 4b -SR (foot mounted)</t>
        </is>
      </c>
      <c r="N113" s="11" t="n">
        <v>15.53</v>
      </c>
      <c r="O113" s="11" t="n">
        <v>90</v>
      </c>
      <c r="P113" s="11" t="n">
        <v>304</v>
      </c>
      <c r="Q113" s="13" t="inlineStr">
        <is>
          <t>Sf 2.2</t>
        </is>
      </c>
      <c r="R113" s="13" t="inlineStr">
        <is>
          <t>Gearmotor table, 4-pole motor, n1≈1400 rpm</t>
        </is>
      </c>
      <c r="S113" s="13" t="inlineStr">
        <is>
          <t>Solid output shaft (SR/SL), foot mounted</t>
        </is>
      </c>
      <c r="T113" s="13" t="inlineStr">
        <is>
          <t>IEC 100 B5 (motor 100 L 4b)</t>
        </is>
      </c>
      <c r="U113" s="13" t="inlineStr">
        <is>
          <t>Output flange option: İRKF…-FR-SR (flange mounted, solid shaft); SD double shaft</t>
        </is>
      </c>
      <c r="V113" s="13" t="inlineStr">
        <is>
          <t>IRK 2024: ratings p.76; dims p.147-148</t>
        </is>
      </c>
      <c r="W113" s="13" t="inlineStr">
        <is>
          <t>Smallest housing with Sf ≥ 1.5 at 3 kW / 1400 rpm. Ratio deviation +3.5% vs 1:15. Larger alternatives: 83 (i=15.5, Sf=4.5).</t>
        </is>
      </c>
      <c r="X113" s="14" t="inlineStr">
        <is>
          <t>IRKP 73 – IEC 100 B5 / B14 + single output shaft (foot)</t>
        </is>
      </c>
      <c r="Y113" s="15" t="inlineStr">
        <is>
          <t>p.31 (IRKP series) + p.30 (IRK options)</t>
        </is>
      </c>
      <c r="Z113" s="15" t="inlineStr">
        <is>
          <t>YES</t>
        </is>
      </c>
      <c r="AA113" s="15" t="inlineStr">
        <is>
          <t>IRKP gear unit €803.00 + single output shaft €51.00</t>
        </is>
      </c>
      <c r="AB113" s="16" t="n">
        <v>854</v>
      </c>
      <c r="AC113" s="17">
        <f>$J113*AB113</f>
        <v/>
      </c>
      <c r="AD113" s="18">
        <f>ROUND(AB113*(1-$L$2),2)</f>
        <v/>
      </c>
      <c r="AE113" s="18">
        <f>$J113*AD113</f>
        <v/>
      </c>
      <c r="AF113" s="19" t="n">
        <v>32</v>
      </c>
      <c r="AG113" s="20">
        <f>ROUND(AF113*(1-$L$2),2)</f>
        <v/>
      </c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>
        <f>SUM(AF113,AH113,AJ113,AL113,AN113)</f>
        <v/>
      </c>
      <c r="AQ113" s="17">
        <f>SUM(AG113,AI113,AK113,AM113,AO113)</f>
        <v/>
      </c>
      <c r="AR113" s="17">
        <f>$J113*AP113</f>
        <v/>
      </c>
      <c r="AS113" s="17">
        <f>$J113*AQ113</f>
        <v/>
      </c>
      <c r="AT113" s="17">
        <f>AB113+AP113</f>
        <v/>
      </c>
      <c r="AU113" s="18">
        <f>AD113+AQ113</f>
        <v/>
      </c>
      <c r="AV113" s="17">
        <f>$J113*AT113</f>
        <v/>
      </c>
      <c r="AW113" s="18">
        <f>$J113*AU113</f>
        <v/>
      </c>
      <c r="AX113" s="21" t="inlineStr">
        <is>
          <t>Output flange on IRK/YP/İRS lines = extra cost of the flange-mounted version.</t>
        </is>
      </c>
      <c r="AY113" s="22" t="n"/>
    </row>
    <row r="114">
      <c r="A114" s="10" t="inlineStr">
        <is>
          <t>GB-110</t>
        </is>
      </c>
      <c r="B114" s="10" t="inlineStr">
        <is>
          <t>Helical Bevel</t>
        </is>
      </c>
      <c r="C114" s="10" t="inlineStr">
        <is>
          <t>K / Equivalent</t>
        </is>
      </c>
      <c r="D114" s="10" t="inlineStr">
        <is>
          <t>Supplier selection</t>
        </is>
      </c>
      <c r="E114" s="10" t="n">
        <v>3</v>
      </c>
      <c r="F114" s="10" t="inlineStr">
        <is>
          <t>1:20</t>
        </is>
      </c>
      <c r="G114" s="10" t="inlineStr">
        <is>
          <t>Foot mounted</t>
        </is>
      </c>
      <c r="H114" s="10" t="inlineStr">
        <is>
          <t>Solid output shaft</t>
        </is>
      </c>
      <c r="I114" s="10" t="inlineStr">
        <is>
          <t>IEC motor adaptor/input</t>
        </is>
      </c>
      <c r="J114" s="10" t="n">
        <v>1</v>
      </c>
      <c r="K114" s="11" t="inlineStr">
        <is>
          <t>İRK (helical bevel)</t>
        </is>
      </c>
      <c r="L114" s="12" t="inlineStr">
        <is>
          <t>İRKP 73-SR  i=19.51  + IEC 100 B5 (foot mounted)</t>
        </is>
      </c>
      <c r="M114" s="13" t="inlineStr">
        <is>
          <t>İRKM 73 / 100 L 4b -SR (foot mounted)</t>
        </is>
      </c>
      <c r="N114" s="11" t="n">
        <v>19.51</v>
      </c>
      <c r="O114" s="11" t="n">
        <v>72</v>
      </c>
      <c r="P114" s="11" t="n">
        <v>381</v>
      </c>
      <c r="Q114" s="13" t="inlineStr">
        <is>
          <t>Sf 1.94</t>
        </is>
      </c>
      <c r="R114" s="13" t="inlineStr">
        <is>
          <t>Gearmotor table, 4-pole motor, n1≈1400 rpm</t>
        </is>
      </c>
      <c r="S114" s="13" t="inlineStr">
        <is>
          <t>Solid output shaft (SR/SL), foot mounted</t>
        </is>
      </c>
      <c r="T114" s="13" t="inlineStr">
        <is>
          <t>IEC 100 B5 (motor 100 L 4b)</t>
        </is>
      </c>
      <c r="U114" s="13" t="inlineStr">
        <is>
          <t>Output flange option: İRKF…-FR-SR (flange mounted, solid shaft); SD double shaft</t>
        </is>
      </c>
      <c r="V114" s="13" t="inlineStr">
        <is>
          <t>IRK 2024: ratings p.76; dims p.147-148</t>
        </is>
      </c>
      <c r="W114" s="13" t="inlineStr">
        <is>
          <t>Smallest housing with Sf ≥ 1.5 at 3 kW / 1400 rpm. Ratio deviation -2.4% vs 1:20. Larger alternatives: 83 (i=19.33, Sf=3.6).</t>
        </is>
      </c>
      <c r="X114" s="14" t="inlineStr">
        <is>
          <t>IRKP 73 – IEC 100 B5 / B14 + single output shaft (foot)</t>
        </is>
      </c>
      <c r="Y114" s="15" t="inlineStr">
        <is>
          <t>p.31 (IRKP series) + p.30 (IRK options)</t>
        </is>
      </c>
      <c r="Z114" s="15" t="inlineStr">
        <is>
          <t>YES</t>
        </is>
      </c>
      <c r="AA114" s="15" t="inlineStr">
        <is>
          <t>IRKP gear unit €803.00 + single output shaft €51.00</t>
        </is>
      </c>
      <c r="AB114" s="16" t="n">
        <v>854</v>
      </c>
      <c r="AC114" s="17">
        <f>$J114*AB114</f>
        <v/>
      </c>
      <c r="AD114" s="18">
        <f>ROUND(AB114*(1-$L$2),2)</f>
        <v/>
      </c>
      <c r="AE114" s="18">
        <f>$J114*AD114</f>
        <v/>
      </c>
      <c r="AF114" s="19" t="n">
        <v>32</v>
      </c>
      <c r="AG114" s="20">
        <f>ROUND(AF114*(1-$L$2),2)</f>
        <v/>
      </c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>
        <f>SUM(AF114,AH114,AJ114,AL114,AN114)</f>
        <v/>
      </c>
      <c r="AQ114" s="17">
        <f>SUM(AG114,AI114,AK114,AM114,AO114)</f>
        <v/>
      </c>
      <c r="AR114" s="17">
        <f>$J114*AP114</f>
        <v/>
      </c>
      <c r="AS114" s="17">
        <f>$J114*AQ114</f>
        <v/>
      </c>
      <c r="AT114" s="17">
        <f>AB114+AP114</f>
        <v/>
      </c>
      <c r="AU114" s="18">
        <f>AD114+AQ114</f>
        <v/>
      </c>
      <c r="AV114" s="17">
        <f>$J114*AT114</f>
        <v/>
      </c>
      <c r="AW114" s="18">
        <f>$J114*AU114</f>
        <v/>
      </c>
      <c r="AX114" s="21" t="inlineStr">
        <is>
          <t>Output flange on IRK/YP/İRS lines = extra cost of the flange-mounted version.</t>
        </is>
      </c>
      <c r="AY114" s="22" t="n"/>
    </row>
    <row r="115">
      <c r="A115" s="10" t="inlineStr">
        <is>
          <t>GB-111</t>
        </is>
      </c>
      <c r="B115" s="10" t="inlineStr">
        <is>
          <t>Helical Bevel</t>
        </is>
      </c>
      <c r="C115" s="10" t="inlineStr">
        <is>
          <t>K / Equivalent</t>
        </is>
      </c>
      <c r="D115" s="10" t="inlineStr">
        <is>
          <t>Supplier selection</t>
        </is>
      </c>
      <c r="E115" s="10" t="n">
        <v>3</v>
      </c>
      <c r="F115" s="10" t="inlineStr">
        <is>
          <t>1:30</t>
        </is>
      </c>
      <c r="G115" s="10" t="inlineStr">
        <is>
          <t>Foot mounted</t>
        </is>
      </c>
      <c r="H115" s="10" t="inlineStr">
        <is>
          <t>Solid output shaft</t>
        </is>
      </c>
      <c r="I115" s="10" t="inlineStr">
        <is>
          <t>IEC motor adaptor/input</t>
        </is>
      </c>
      <c r="J115" s="10" t="n">
        <v>1</v>
      </c>
      <c r="K115" s="11" t="inlineStr">
        <is>
          <t>İRK (helical bevel)</t>
        </is>
      </c>
      <c r="L115" s="12" t="inlineStr">
        <is>
          <t>İRKP 83-SR  i=31.34  + IEC 100 B5 (foot mounted)</t>
        </is>
      </c>
      <c r="M115" s="13" t="inlineStr">
        <is>
          <t>İRKM 83 / 100 L 4b -SR (foot mounted)</t>
        </is>
      </c>
      <c r="N115" s="11" t="n">
        <v>31.34</v>
      </c>
      <c r="O115" s="11" t="n">
        <v>45</v>
      </c>
      <c r="P115" s="11" t="n">
        <v>613</v>
      </c>
      <c r="Q115" s="13" t="inlineStr">
        <is>
          <t>Sf 2.4</t>
        </is>
      </c>
      <c r="R115" s="13" t="inlineStr">
        <is>
          <t>Gearmotor table, 4-pole motor, n1≈1400 rpm</t>
        </is>
      </c>
      <c r="S115" s="13" t="inlineStr">
        <is>
          <t>Solid output shaft (SR/SL), foot mounted</t>
        </is>
      </c>
      <c r="T115" s="13" t="inlineStr">
        <is>
          <t>IEC 100 B5 (motor 100 L 4b)</t>
        </is>
      </c>
      <c r="U115" s="13" t="inlineStr">
        <is>
          <t>Output flange option: İRKF…-FR-SR (flange mounted, solid shaft); SD double shaft</t>
        </is>
      </c>
      <c r="V115" s="13" t="inlineStr">
        <is>
          <t>IRK 2024: ratings p.76; dims p.153-154</t>
        </is>
      </c>
      <c r="W115" s="13" t="inlineStr">
        <is>
          <t>Smallest housing with Sf ≥ 1.5 at 3 kW / 1400 rpm. Ratio deviation +4.5% vs 1:30.</t>
        </is>
      </c>
      <c r="X115" s="14" t="inlineStr">
        <is>
          <t>IRKP 83 – IEC 100 B5 / B14 + single output shaft (foot)</t>
        </is>
      </c>
      <c r="Y115" s="15" t="inlineStr">
        <is>
          <t>p.32 (IRKP series) + p.30 (IRK options)</t>
        </is>
      </c>
      <c r="Z115" s="15" t="inlineStr">
        <is>
          <t>YES</t>
        </is>
      </c>
      <c r="AA115" s="15" t="inlineStr">
        <is>
          <t>IRKP gear unit €1,195.00 + single output shaft €56.00</t>
        </is>
      </c>
      <c r="AB115" s="16" t="n">
        <v>1251</v>
      </c>
      <c r="AC115" s="17">
        <f>$J115*AB115</f>
        <v/>
      </c>
      <c r="AD115" s="18">
        <f>ROUND(AB115*(1-$L$2),2)</f>
        <v/>
      </c>
      <c r="AE115" s="18">
        <f>$J115*AD115</f>
        <v/>
      </c>
      <c r="AF115" s="19" t="n">
        <v>40</v>
      </c>
      <c r="AG115" s="20">
        <f>ROUND(AF115*(1-$L$2),2)</f>
        <v/>
      </c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>
        <f>SUM(AF115,AH115,AJ115,AL115,AN115)</f>
        <v/>
      </c>
      <c r="AQ115" s="17">
        <f>SUM(AG115,AI115,AK115,AM115,AO115)</f>
        <v/>
      </c>
      <c r="AR115" s="17">
        <f>$J115*AP115</f>
        <v/>
      </c>
      <c r="AS115" s="17">
        <f>$J115*AQ115</f>
        <v/>
      </c>
      <c r="AT115" s="17">
        <f>AB115+AP115</f>
        <v/>
      </c>
      <c r="AU115" s="18">
        <f>AD115+AQ115</f>
        <v/>
      </c>
      <c r="AV115" s="17">
        <f>$J115*AT115</f>
        <v/>
      </c>
      <c r="AW115" s="18">
        <f>$J115*AU115</f>
        <v/>
      </c>
      <c r="AX115" s="21" t="inlineStr">
        <is>
          <t>Output flange on IRK/YP/İRS lines = extra cost of the flange-mounted version.</t>
        </is>
      </c>
      <c r="AY115" s="22" t="n"/>
    </row>
    <row r="116">
      <c r="A116" s="10" t="inlineStr">
        <is>
          <t>GB-112</t>
        </is>
      </c>
      <c r="B116" s="10" t="inlineStr">
        <is>
          <t>Helical Bevel</t>
        </is>
      </c>
      <c r="C116" s="10" t="inlineStr">
        <is>
          <t>K / Equivalent</t>
        </is>
      </c>
      <c r="D116" s="10" t="inlineStr">
        <is>
          <t>Supplier selection</t>
        </is>
      </c>
      <c r="E116" s="10" t="n">
        <v>4</v>
      </c>
      <c r="F116" s="10" t="inlineStr">
        <is>
          <t>1:15</t>
        </is>
      </c>
      <c r="G116" s="10" t="inlineStr">
        <is>
          <t>Foot mounted</t>
        </is>
      </c>
      <c r="H116" s="10" t="inlineStr">
        <is>
          <t>Solid output shaft</t>
        </is>
      </c>
      <c r="I116" s="10" t="inlineStr">
        <is>
          <t>IEC motor adaptor/input</t>
        </is>
      </c>
      <c r="J116" s="10" t="n">
        <v>1</v>
      </c>
      <c r="K116" s="11" t="inlineStr">
        <is>
          <t>İRK (helical bevel)</t>
        </is>
      </c>
      <c r="L116" s="12" t="inlineStr">
        <is>
          <t>İRKP 73-SR  i=15.53  + IEC 112 B5 (foot mounted)</t>
        </is>
      </c>
      <c r="M116" s="13" t="inlineStr">
        <is>
          <t>İRKM 73 / 112 M 4b -SR (foot mounted)</t>
        </is>
      </c>
      <c r="N116" s="11" t="n">
        <v>15.53</v>
      </c>
      <c r="O116" s="11" t="n">
        <v>90</v>
      </c>
      <c r="P116" s="11" t="n">
        <v>405</v>
      </c>
      <c r="Q116" s="13" t="inlineStr">
        <is>
          <t>Sf 1.65</t>
        </is>
      </c>
      <c r="R116" s="13" t="inlineStr">
        <is>
          <t>Gearmotor table, 4-pole motor, n1≈1400 rpm</t>
        </is>
      </c>
      <c r="S116" s="13" t="inlineStr">
        <is>
          <t>Solid output shaft (SR/SL), foot mounted</t>
        </is>
      </c>
      <c r="T116" s="13" t="inlineStr">
        <is>
          <t>IEC 112 B5 (motor 112 M 4b)</t>
        </is>
      </c>
      <c r="U116" s="13" t="inlineStr">
        <is>
          <t>Output flange option: İRKF…-FR-SR (flange mounted, solid shaft); SD double shaft</t>
        </is>
      </c>
      <c r="V116" s="13" t="inlineStr">
        <is>
          <t>IRK 2024: ratings p.81; dims p.147-148</t>
        </is>
      </c>
      <c r="W116" s="13" t="inlineStr">
        <is>
          <t>Smallest housing with Sf ≥ 1.5 at 4 kW / 1400 rpm. Ratio deviation +3.5% vs 1:15. Larger alternatives: 83 (i=15.5, Sf=3.4).</t>
        </is>
      </c>
      <c r="X116" s="14" t="inlineStr">
        <is>
          <t>IRKP 73 – IEC 112 B5 / B14 + single output shaft (foot)</t>
        </is>
      </c>
      <c r="Y116" s="15" t="inlineStr">
        <is>
          <t>p.31 (IRKP series) + p.30 (IRK options)</t>
        </is>
      </c>
      <c r="Z116" s="15" t="inlineStr">
        <is>
          <t>YES</t>
        </is>
      </c>
      <c r="AA116" s="15" t="inlineStr">
        <is>
          <t>IRKP gear unit €803.00 + single output shaft €51.00</t>
        </is>
      </c>
      <c r="AB116" s="16" t="n">
        <v>854</v>
      </c>
      <c r="AC116" s="17">
        <f>$J116*AB116</f>
        <v/>
      </c>
      <c r="AD116" s="18">
        <f>ROUND(AB116*(1-$L$2),2)</f>
        <v/>
      </c>
      <c r="AE116" s="18">
        <f>$J116*AD116</f>
        <v/>
      </c>
      <c r="AF116" s="19" t="n">
        <v>32</v>
      </c>
      <c r="AG116" s="20">
        <f>ROUND(AF116*(1-$L$2),2)</f>
        <v/>
      </c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>
        <f>SUM(AF116,AH116,AJ116,AL116,AN116)</f>
        <v/>
      </c>
      <c r="AQ116" s="17">
        <f>SUM(AG116,AI116,AK116,AM116,AO116)</f>
        <v/>
      </c>
      <c r="AR116" s="17">
        <f>$J116*AP116</f>
        <v/>
      </c>
      <c r="AS116" s="17">
        <f>$J116*AQ116</f>
        <v/>
      </c>
      <c r="AT116" s="17">
        <f>AB116+AP116</f>
        <v/>
      </c>
      <c r="AU116" s="18">
        <f>AD116+AQ116</f>
        <v/>
      </c>
      <c r="AV116" s="17">
        <f>$J116*AT116</f>
        <v/>
      </c>
      <c r="AW116" s="18">
        <f>$J116*AU116</f>
        <v/>
      </c>
      <c r="AX116" s="21" t="inlineStr">
        <is>
          <t>Output flange on IRK/YP/İRS lines = extra cost of the flange-mounted version.</t>
        </is>
      </c>
      <c r="AY116" s="22" t="n"/>
    </row>
    <row r="117">
      <c r="A117" s="10" t="inlineStr">
        <is>
          <t>GB-113</t>
        </is>
      </c>
      <c r="B117" s="10" t="inlineStr">
        <is>
          <t>Helical Bevel</t>
        </is>
      </c>
      <c r="C117" s="10" t="inlineStr">
        <is>
          <t>K / Equivalent</t>
        </is>
      </c>
      <c r="D117" s="10" t="inlineStr">
        <is>
          <t>Supplier selection</t>
        </is>
      </c>
      <c r="E117" s="10" t="n">
        <v>4</v>
      </c>
      <c r="F117" s="10" t="inlineStr">
        <is>
          <t>1:20</t>
        </is>
      </c>
      <c r="G117" s="10" t="inlineStr">
        <is>
          <t>Foot mounted</t>
        </is>
      </c>
      <c r="H117" s="10" t="inlineStr">
        <is>
          <t>Solid output shaft</t>
        </is>
      </c>
      <c r="I117" s="10" t="inlineStr">
        <is>
          <t>IEC motor adaptor/input</t>
        </is>
      </c>
      <c r="J117" s="10" t="n">
        <v>1</v>
      </c>
      <c r="K117" s="11" t="inlineStr">
        <is>
          <t>İRK (helical bevel)</t>
        </is>
      </c>
      <c r="L117" s="12" t="inlineStr">
        <is>
          <t>İRKP 83-SR  i=19.33  + IEC 112 B5 (foot mounted)</t>
        </is>
      </c>
      <c r="M117" s="13" t="inlineStr">
        <is>
          <t>İRKM 83 / 112 M 4b -SR (foot mounted)</t>
        </is>
      </c>
      <c r="N117" s="11" t="n">
        <v>19.33</v>
      </c>
      <c r="O117" s="11" t="n">
        <v>72</v>
      </c>
      <c r="P117" s="11" t="n">
        <v>504</v>
      </c>
      <c r="Q117" s="13" t="inlineStr">
        <is>
          <t>Sf 2.7</t>
        </is>
      </c>
      <c r="R117" s="13" t="inlineStr">
        <is>
          <t>Gearmotor table, 4-pole motor, n1≈1400 rpm</t>
        </is>
      </c>
      <c r="S117" s="13" t="inlineStr">
        <is>
          <t>Solid output shaft (SR/SL), foot mounted</t>
        </is>
      </c>
      <c r="T117" s="13" t="inlineStr">
        <is>
          <t>IEC 112 B5 (motor 112 M 4b)</t>
        </is>
      </c>
      <c r="U117" s="13" t="inlineStr">
        <is>
          <t>Output flange option: İRKF…-FR-SR (flange mounted, solid shaft); SD double shaft</t>
        </is>
      </c>
      <c r="V117" s="13" t="inlineStr">
        <is>
          <t>IRK 2024: ratings p.80; dims p.153-154</t>
        </is>
      </c>
      <c r="W117" s="13" t="inlineStr">
        <is>
          <t>Smallest housing with Sf ≥ 1.5 at 4 kW / 1400 rpm. Ratio deviation -3.4% vs 1:20.</t>
        </is>
      </c>
      <c r="X117" s="14" t="inlineStr">
        <is>
          <t>IRKP 83 – IEC 112 B5 / B14 + single output shaft (foot)</t>
        </is>
      </c>
      <c r="Y117" s="15" t="inlineStr">
        <is>
          <t>p.32 (IRKP series) + p.30 (IRK options)</t>
        </is>
      </c>
      <c r="Z117" s="15" t="inlineStr">
        <is>
          <t>YES</t>
        </is>
      </c>
      <c r="AA117" s="15" t="inlineStr">
        <is>
          <t>IRKP gear unit €1,195.00 + single output shaft €56.00</t>
        </is>
      </c>
      <c r="AB117" s="16" t="n">
        <v>1251</v>
      </c>
      <c r="AC117" s="17">
        <f>$J117*AB117</f>
        <v/>
      </c>
      <c r="AD117" s="18">
        <f>ROUND(AB117*(1-$L$2),2)</f>
        <v/>
      </c>
      <c r="AE117" s="18">
        <f>$J117*AD117</f>
        <v/>
      </c>
      <c r="AF117" s="19" t="n">
        <v>40</v>
      </c>
      <c r="AG117" s="20">
        <f>ROUND(AF117*(1-$L$2),2)</f>
        <v/>
      </c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>
        <f>SUM(AF117,AH117,AJ117,AL117,AN117)</f>
        <v/>
      </c>
      <c r="AQ117" s="17">
        <f>SUM(AG117,AI117,AK117,AM117,AO117)</f>
        <v/>
      </c>
      <c r="AR117" s="17">
        <f>$J117*AP117</f>
        <v/>
      </c>
      <c r="AS117" s="17">
        <f>$J117*AQ117</f>
        <v/>
      </c>
      <c r="AT117" s="17">
        <f>AB117+AP117</f>
        <v/>
      </c>
      <c r="AU117" s="18">
        <f>AD117+AQ117</f>
        <v/>
      </c>
      <c r="AV117" s="17">
        <f>$J117*AT117</f>
        <v/>
      </c>
      <c r="AW117" s="18">
        <f>$J117*AU117</f>
        <v/>
      </c>
      <c r="AX117" s="21" t="inlineStr">
        <is>
          <t>Output flange on IRK/YP/İRS lines = extra cost of the flange-mounted version.</t>
        </is>
      </c>
      <c r="AY117" s="22" t="n"/>
    </row>
    <row r="118">
      <c r="A118" s="10" t="inlineStr">
        <is>
          <t>GB-114</t>
        </is>
      </c>
      <c r="B118" s="10" t="inlineStr">
        <is>
          <t>Helical Bevel</t>
        </is>
      </c>
      <c r="C118" s="10" t="inlineStr">
        <is>
          <t>K / Equivalent</t>
        </is>
      </c>
      <c r="D118" s="10" t="inlineStr">
        <is>
          <t>Supplier selection</t>
        </is>
      </c>
      <c r="E118" s="10" t="n">
        <v>4</v>
      </c>
      <c r="F118" s="10" t="inlineStr">
        <is>
          <t>1:30</t>
        </is>
      </c>
      <c r="G118" s="10" t="inlineStr">
        <is>
          <t>Foot mounted</t>
        </is>
      </c>
      <c r="H118" s="10" t="inlineStr">
        <is>
          <t>Solid output shaft</t>
        </is>
      </c>
      <c r="I118" s="10" t="inlineStr">
        <is>
          <t>IEC motor adaptor/input</t>
        </is>
      </c>
      <c r="J118" s="10" t="n">
        <v>1</v>
      </c>
      <c r="K118" s="11" t="inlineStr">
        <is>
          <t>İRK (helical bevel)</t>
        </is>
      </c>
      <c r="L118" s="12" t="inlineStr">
        <is>
          <t>İRKP 83-SR  i=31.34  + IEC 112 B5 (foot mounted)</t>
        </is>
      </c>
      <c r="M118" s="13" t="inlineStr">
        <is>
          <t>İRKM 83 / 112 M 4b -SR (foot mounted)</t>
        </is>
      </c>
      <c r="N118" s="11" t="n">
        <v>31.34</v>
      </c>
      <c r="O118" s="11" t="n">
        <v>45</v>
      </c>
      <c r="P118" s="11" t="n">
        <v>817</v>
      </c>
      <c r="Q118" s="13" t="inlineStr">
        <is>
          <t>Sf 1.81</t>
        </is>
      </c>
      <c r="R118" s="13" t="inlineStr">
        <is>
          <t>Gearmotor table, 4-pole motor, n1≈1400 rpm</t>
        </is>
      </c>
      <c r="S118" s="13" t="inlineStr">
        <is>
          <t>Solid output shaft (SR/SL), foot mounted</t>
        </is>
      </c>
      <c r="T118" s="13" t="inlineStr">
        <is>
          <t>IEC 112 B5 (motor 112 M 4b)</t>
        </is>
      </c>
      <c r="U118" s="13" t="inlineStr">
        <is>
          <t>Output flange option: İRKF…-FR-SR (flange mounted, solid shaft); SD double shaft</t>
        </is>
      </c>
      <c r="V118" s="13" t="inlineStr">
        <is>
          <t>IRK 2024: ratings p.80; dims p.153-154</t>
        </is>
      </c>
      <c r="W118" s="13" t="inlineStr">
        <is>
          <t>Smallest housing with Sf ≥ 1.5 at 4 kW / 1400 rpm. Ratio deviation +4.5% vs 1:30. Larger alternatives: 93 (i=29.78, Sf=3.2); 103 (i=30.65, Sf=5.3).</t>
        </is>
      </c>
      <c r="X118" s="14" t="inlineStr">
        <is>
          <t>IRKP 83 – IEC 112 B5 / B14 + single output shaft (foot)</t>
        </is>
      </c>
      <c r="Y118" s="15" t="inlineStr">
        <is>
          <t>p.32 (IRKP series) + p.30 (IRK options)</t>
        </is>
      </c>
      <c r="Z118" s="15" t="inlineStr">
        <is>
          <t>YES</t>
        </is>
      </c>
      <c r="AA118" s="15" t="inlineStr">
        <is>
          <t>IRKP gear unit €1,195.00 + single output shaft €56.00</t>
        </is>
      </c>
      <c r="AB118" s="16" t="n">
        <v>1251</v>
      </c>
      <c r="AC118" s="17">
        <f>$J118*AB118</f>
        <v/>
      </c>
      <c r="AD118" s="18">
        <f>ROUND(AB118*(1-$L$2),2)</f>
        <v/>
      </c>
      <c r="AE118" s="18">
        <f>$J118*AD118</f>
        <v/>
      </c>
      <c r="AF118" s="19" t="n">
        <v>40</v>
      </c>
      <c r="AG118" s="20">
        <f>ROUND(AF118*(1-$L$2),2)</f>
        <v/>
      </c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>
        <f>SUM(AF118,AH118,AJ118,AL118,AN118)</f>
        <v/>
      </c>
      <c r="AQ118" s="17">
        <f>SUM(AG118,AI118,AK118,AM118,AO118)</f>
        <v/>
      </c>
      <c r="AR118" s="17">
        <f>$J118*AP118</f>
        <v/>
      </c>
      <c r="AS118" s="17">
        <f>$J118*AQ118</f>
        <v/>
      </c>
      <c r="AT118" s="17">
        <f>AB118+AP118</f>
        <v/>
      </c>
      <c r="AU118" s="18">
        <f>AD118+AQ118</f>
        <v/>
      </c>
      <c r="AV118" s="17">
        <f>$J118*AT118</f>
        <v/>
      </c>
      <c r="AW118" s="18">
        <f>$J118*AU118</f>
        <v/>
      </c>
      <c r="AX118" s="21" t="inlineStr">
        <is>
          <t>Output flange on IRK/YP/İRS lines = extra cost of the flange-mounted version.</t>
        </is>
      </c>
      <c r="AY118" s="22" t="n"/>
    </row>
    <row r="119">
      <c r="A119" s="10" t="inlineStr">
        <is>
          <t>GB-115</t>
        </is>
      </c>
      <c r="B119" s="10" t="inlineStr">
        <is>
          <t>Helical Bevel</t>
        </is>
      </c>
      <c r="C119" s="10" t="inlineStr">
        <is>
          <t>K / Equivalent</t>
        </is>
      </c>
      <c r="D119" s="10" t="inlineStr">
        <is>
          <t>Supplier selection</t>
        </is>
      </c>
      <c r="E119" s="10" t="n">
        <v>5.5</v>
      </c>
      <c r="F119" s="10" t="inlineStr">
        <is>
          <t>1:20</t>
        </is>
      </c>
      <c r="G119" s="10" t="inlineStr">
        <is>
          <t>Foot mounted</t>
        </is>
      </c>
      <c r="H119" s="10" t="inlineStr">
        <is>
          <t>Solid output shaft</t>
        </is>
      </c>
      <c r="I119" s="10" t="inlineStr">
        <is>
          <t>IEC motor adaptor/input</t>
        </is>
      </c>
      <c r="J119" s="10" t="n">
        <v>1</v>
      </c>
      <c r="K119" s="11" t="inlineStr">
        <is>
          <t>İRK (helical bevel)</t>
        </is>
      </c>
      <c r="L119" s="12" t="inlineStr">
        <is>
          <t>İRKP 83-SR  i=19.33  + IEC 132 B5 (foot mounted)</t>
        </is>
      </c>
      <c r="M119" s="13" t="inlineStr">
        <is>
          <t>İRKM 83 / 132 S 4c -SR (foot mounted)</t>
        </is>
      </c>
      <c r="N119" s="11" t="n">
        <v>19.33</v>
      </c>
      <c r="O119" s="11" t="n">
        <v>72</v>
      </c>
      <c r="P119" s="11" t="n">
        <v>693</v>
      </c>
      <c r="Q119" s="13" t="inlineStr">
        <is>
          <t>Sf 2.0</t>
        </is>
      </c>
      <c r="R119" s="13" t="inlineStr">
        <is>
          <t>Gearmotor table, 4-pole motor, n1≈1400 rpm</t>
        </is>
      </c>
      <c r="S119" s="13" t="inlineStr">
        <is>
          <t>Solid output shaft (SR/SL), foot mounted</t>
        </is>
      </c>
      <c r="T119" s="13" t="inlineStr">
        <is>
          <t>IEC 132 B5 (motor 132 S 4c)</t>
        </is>
      </c>
      <c r="U119" s="13" t="inlineStr">
        <is>
          <t>Output flange option: İRKF…-FR-SR (flange mounted, solid shaft); SD double shaft</t>
        </is>
      </c>
      <c r="V119" s="13" t="inlineStr">
        <is>
          <t>IRK 2024: ratings p.83; dims p.153-154</t>
        </is>
      </c>
      <c r="W119" s="13" t="inlineStr">
        <is>
          <t>Smallest housing with Sf ≥ 1.5 at 5.5 kW / 1400 rpm. Ratio deviation -3.4% vs 1:20. Larger alternatives: 93 (i=20.8, Sf=3.3).</t>
        </is>
      </c>
      <c r="X119" s="14" t="inlineStr">
        <is>
          <t>IRKP 83 – IEC 132 B5 / B14 + single output shaft (foot)</t>
        </is>
      </c>
      <c r="Y119" s="15" t="inlineStr">
        <is>
          <t>p.32 (IRKP series) + p.30 (IRK options)</t>
        </is>
      </c>
      <c r="Z119" s="15" t="inlineStr">
        <is>
          <t>YES</t>
        </is>
      </c>
      <c r="AA119" s="15" t="inlineStr">
        <is>
          <t>IRKP gear unit €1,210.00 + single output shaft €56.00</t>
        </is>
      </c>
      <c r="AB119" s="16" t="n">
        <v>1266</v>
      </c>
      <c r="AC119" s="17">
        <f>$J119*AB119</f>
        <v/>
      </c>
      <c r="AD119" s="18">
        <f>ROUND(AB119*(1-$L$2),2)</f>
        <v/>
      </c>
      <c r="AE119" s="18">
        <f>$J119*AD119</f>
        <v/>
      </c>
      <c r="AF119" s="19" t="n">
        <v>40</v>
      </c>
      <c r="AG119" s="20">
        <f>ROUND(AF119*(1-$L$2),2)</f>
        <v/>
      </c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>
        <f>SUM(AF119,AH119,AJ119,AL119,AN119)</f>
        <v/>
      </c>
      <c r="AQ119" s="17">
        <f>SUM(AG119,AI119,AK119,AM119,AO119)</f>
        <v/>
      </c>
      <c r="AR119" s="17">
        <f>$J119*AP119</f>
        <v/>
      </c>
      <c r="AS119" s="17">
        <f>$J119*AQ119</f>
        <v/>
      </c>
      <c r="AT119" s="17">
        <f>AB119+AP119</f>
        <v/>
      </c>
      <c r="AU119" s="18">
        <f>AD119+AQ119</f>
        <v/>
      </c>
      <c r="AV119" s="17">
        <f>$J119*AT119</f>
        <v/>
      </c>
      <c r="AW119" s="18">
        <f>$J119*AU119</f>
        <v/>
      </c>
      <c r="AX119" s="21" t="inlineStr">
        <is>
          <t>Output flange on IRK/YP/İRS lines = extra cost of the flange-mounted version.</t>
        </is>
      </c>
      <c r="AY119" s="22" t="n"/>
    </row>
    <row r="120">
      <c r="A120" s="10" t="inlineStr">
        <is>
          <t>GB-116</t>
        </is>
      </c>
      <c r="B120" s="10" t="inlineStr">
        <is>
          <t>Helical Bevel</t>
        </is>
      </c>
      <c r="C120" s="10" t="inlineStr">
        <is>
          <t>K / Equivalent</t>
        </is>
      </c>
      <c r="D120" s="10" t="inlineStr">
        <is>
          <t>Supplier selection</t>
        </is>
      </c>
      <c r="E120" s="10" t="n">
        <v>5.5</v>
      </c>
      <c r="F120" s="10" t="inlineStr">
        <is>
          <t>1:30</t>
        </is>
      </c>
      <c r="G120" s="10" t="inlineStr">
        <is>
          <t>Foot mounted</t>
        </is>
      </c>
      <c r="H120" s="10" t="inlineStr">
        <is>
          <t>Solid output shaft</t>
        </is>
      </c>
      <c r="I120" s="10" t="inlineStr">
        <is>
          <t>IEC motor adaptor/input</t>
        </is>
      </c>
      <c r="J120" s="10" t="n">
        <v>1</v>
      </c>
      <c r="K120" s="11" t="inlineStr">
        <is>
          <t>İRK (helical bevel)</t>
        </is>
      </c>
      <c r="L120" s="12" t="inlineStr">
        <is>
          <t>İRKP 93-SR  i=29.78  + IEC 132 B5 (foot mounted)</t>
        </is>
      </c>
      <c r="M120" s="13" t="inlineStr">
        <is>
          <t>İRKM 93 / 132 S 4c -SR (foot mounted)</t>
        </is>
      </c>
      <c r="N120" s="11" t="n">
        <v>29.78</v>
      </c>
      <c r="O120" s="11" t="n">
        <v>47</v>
      </c>
      <c r="P120" s="11" t="n">
        <v>1068</v>
      </c>
      <c r="Q120" s="13" t="inlineStr">
        <is>
          <t>Sf 2.4</t>
        </is>
      </c>
      <c r="R120" s="13" t="inlineStr">
        <is>
          <t>Gearmotor table, 4-pole motor, n1≈1400 rpm</t>
        </is>
      </c>
      <c r="S120" s="13" t="inlineStr">
        <is>
          <t>Solid output shaft (SR/SL), foot mounted</t>
        </is>
      </c>
      <c r="T120" s="13" t="inlineStr">
        <is>
          <t>IEC 132 B5 (motor 132 S 4c)</t>
        </is>
      </c>
      <c r="U120" s="13" t="inlineStr">
        <is>
          <t>Output flange option: İRKF…-FR-SR (flange mounted, solid shaft); SD double shaft</t>
        </is>
      </c>
      <c r="V120" s="13" t="inlineStr">
        <is>
          <t>IRK 2024: ratings p.83; dims p.159-160</t>
        </is>
      </c>
      <c r="W120" s="13" t="inlineStr">
        <is>
          <t>Smallest housing with Sf ≥ 1.5 at 5.5 kW / 1400 rpm. Ratio deviation -0.7% vs 1:30. Larger alternatives: 103 (i=30.65, Sf=3.8).</t>
        </is>
      </c>
      <c r="X120" s="14" t="inlineStr">
        <is>
          <t>IRKP 93 – IEC 132 B5 / B14 + single output shaft (foot)</t>
        </is>
      </c>
      <c r="Y120" s="15" t="inlineStr">
        <is>
          <t>p.32 (IRKP series) + p.30 (IRK options)</t>
        </is>
      </c>
      <c r="Z120" s="15" t="inlineStr">
        <is>
          <t>YES</t>
        </is>
      </c>
      <c r="AA120" s="15" t="inlineStr">
        <is>
          <t>IRKP gear unit €1,644.00 + single output shaft €63.00</t>
        </is>
      </c>
      <c r="AB120" s="16" t="n">
        <v>1707</v>
      </c>
      <c r="AC120" s="17">
        <f>$J120*AB120</f>
        <v/>
      </c>
      <c r="AD120" s="18">
        <f>ROUND(AB120*(1-$L$2),2)</f>
        <v/>
      </c>
      <c r="AE120" s="18">
        <f>$J120*AD120</f>
        <v/>
      </c>
      <c r="AF120" s="19" t="n">
        <v>71</v>
      </c>
      <c r="AG120" s="20">
        <f>ROUND(AF120*(1-$L$2),2)</f>
        <v/>
      </c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>
        <f>SUM(AF120,AH120,AJ120,AL120,AN120)</f>
        <v/>
      </c>
      <c r="AQ120" s="17">
        <f>SUM(AG120,AI120,AK120,AM120,AO120)</f>
        <v/>
      </c>
      <c r="AR120" s="17">
        <f>$J120*AP120</f>
        <v/>
      </c>
      <c r="AS120" s="17">
        <f>$J120*AQ120</f>
        <v/>
      </c>
      <c r="AT120" s="17">
        <f>AB120+AP120</f>
        <v/>
      </c>
      <c r="AU120" s="18">
        <f>AD120+AQ120</f>
        <v/>
      </c>
      <c r="AV120" s="17">
        <f>$J120*AT120</f>
        <v/>
      </c>
      <c r="AW120" s="18">
        <f>$J120*AU120</f>
        <v/>
      </c>
      <c r="AX120" s="21" t="inlineStr">
        <is>
          <t>Output flange on IRK/YP/İRS lines = extra cost of the flange-mounted version.</t>
        </is>
      </c>
      <c r="AY120" s="22" t="n"/>
    </row>
    <row r="121">
      <c r="A121" s="10" t="inlineStr">
        <is>
          <t>GB-117</t>
        </is>
      </c>
      <c r="B121" s="10" t="inlineStr">
        <is>
          <t>Helical Bevel</t>
        </is>
      </c>
      <c r="C121" s="10" t="inlineStr">
        <is>
          <t>K / Equivalent</t>
        </is>
      </c>
      <c r="D121" s="10" t="inlineStr">
        <is>
          <t>Supplier selection</t>
        </is>
      </c>
      <c r="E121" s="10" t="n">
        <v>7.5</v>
      </c>
      <c r="F121" s="10" t="inlineStr">
        <is>
          <t>1:20</t>
        </is>
      </c>
      <c r="G121" s="10" t="inlineStr">
        <is>
          <t>Foot mounted</t>
        </is>
      </c>
      <c r="H121" s="10" t="inlineStr">
        <is>
          <t>Solid output shaft</t>
        </is>
      </c>
      <c r="I121" s="10" t="inlineStr">
        <is>
          <t>IEC motor adaptor/input</t>
        </is>
      </c>
      <c r="J121" s="10" t="n">
        <v>1</v>
      </c>
      <c r="K121" s="11" t="inlineStr">
        <is>
          <t>İRK (helical bevel)</t>
        </is>
      </c>
      <c r="L121" s="12" t="inlineStr">
        <is>
          <t>İRKP 93-SR  i=20.8  + IEC 132 B5 (foot mounted)</t>
        </is>
      </c>
      <c r="M121" s="13" t="inlineStr">
        <is>
          <t>İRKM 93 / 132 M 4b -SR (foot mounted)</t>
        </is>
      </c>
      <c r="N121" s="11" t="n">
        <v>20.8</v>
      </c>
      <c r="O121" s="11" t="n">
        <v>67</v>
      </c>
      <c r="P121" s="11" t="n">
        <v>1017</v>
      </c>
      <c r="Q121" s="13" t="inlineStr">
        <is>
          <t>Sf 2.4</t>
        </is>
      </c>
      <c r="R121" s="13" t="inlineStr">
        <is>
          <t>Gearmotor table, 4-pole motor, n1≈1400 rpm</t>
        </is>
      </c>
      <c r="S121" s="13" t="inlineStr">
        <is>
          <t>Solid output shaft (SR/SL), foot mounted</t>
        </is>
      </c>
      <c r="T121" s="13" t="inlineStr">
        <is>
          <t>IEC 132 B5 (motor 132 M 4b)</t>
        </is>
      </c>
      <c r="U121" s="13" t="inlineStr">
        <is>
          <t>Output flange option: İRKF…-FR-SR (flange mounted, solid shaft); SD double shaft</t>
        </is>
      </c>
      <c r="V121" s="13" t="inlineStr">
        <is>
          <t>IRK 2024: ratings p.86; dims p.159-160</t>
        </is>
      </c>
      <c r="W121" s="13" t="inlineStr">
        <is>
          <t>Smallest housing with Sf ≥ 1.5 at 7.5 kW / 1400 rpm. Ratio deviation +4.0% vs 1:20. Larger alternatives: 103 (i=20.6, Sf=4.2).</t>
        </is>
      </c>
      <c r="X121" s="14" t="inlineStr">
        <is>
          <t>IRKP 93 – IEC 132 B5 / B14 + single output shaft (foot)</t>
        </is>
      </c>
      <c r="Y121" s="15" t="inlineStr">
        <is>
          <t>p.32 (IRKP series) + p.30 (IRK options)</t>
        </is>
      </c>
      <c r="Z121" s="15" t="inlineStr">
        <is>
          <t>YES</t>
        </is>
      </c>
      <c r="AA121" s="15" t="inlineStr">
        <is>
          <t>IRKP gear unit €1,644.00 + single output shaft €63.00</t>
        </is>
      </c>
      <c r="AB121" s="16" t="n">
        <v>1707</v>
      </c>
      <c r="AC121" s="17">
        <f>$J121*AB121</f>
        <v/>
      </c>
      <c r="AD121" s="18">
        <f>ROUND(AB121*(1-$L$2),2)</f>
        <v/>
      </c>
      <c r="AE121" s="18">
        <f>$J121*AD121</f>
        <v/>
      </c>
      <c r="AF121" s="19" t="n">
        <v>71</v>
      </c>
      <c r="AG121" s="20">
        <f>ROUND(AF121*(1-$L$2),2)</f>
        <v/>
      </c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>
        <f>SUM(AF121,AH121,AJ121,AL121,AN121)</f>
        <v/>
      </c>
      <c r="AQ121" s="17">
        <f>SUM(AG121,AI121,AK121,AM121,AO121)</f>
        <v/>
      </c>
      <c r="AR121" s="17">
        <f>$J121*AP121</f>
        <v/>
      </c>
      <c r="AS121" s="17">
        <f>$J121*AQ121</f>
        <v/>
      </c>
      <c r="AT121" s="17">
        <f>AB121+AP121</f>
        <v/>
      </c>
      <c r="AU121" s="18">
        <f>AD121+AQ121</f>
        <v/>
      </c>
      <c r="AV121" s="17">
        <f>$J121*AT121</f>
        <v/>
      </c>
      <c r="AW121" s="18">
        <f>$J121*AU121</f>
        <v/>
      </c>
      <c r="AX121" s="21" t="inlineStr">
        <is>
          <t>Output flange on IRK/YP/İRS lines = extra cost of the flange-mounted version.</t>
        </is>
      </c>
      <c r="AY121" s="22" t="n"/>
    </row>
    <row r="122">
      <c r="A122" s="10" t="inlineStr">
        <is>
          <t>GB-118</t>
        </is>
      </c>
      <c r="B122" s="10" t="inlineStr">
        <is>
          <t>Helical Bevel</t>
        </is>
      </c>
      <c r="C122" s="10" t="inlineStr">
        <is>
          <t>K / Equivalent</t>
        </is>
      </c>
      <c r="D122" s="10" t="inlineStr">
        <is>
          <t>Supplier selection</t>
        </is>
      </c>
      <c r="E122" s="10" t="n">
        <v>11</v>
      </c>
      <c r="F122" s="10" t="inlineStr">
        <is>
          <t>1:30</t>
        </is>
      </c>
      <c r="G122" s="10" t="inlineStr">
        <is>
          <t>Foot mounted</t>
        </is>
      </c>
      <c r="H122" s="10" t="inlineStr">
        <is>
          <t>Solid output shaft</t>
        </is>
      </c>
      <c r="I122" s="10" t="inlineStr">
        <is>
          <t>IEC motor adaptor/input</t>
        </is>
      </c>
      <c r="J122" s="10" t="n">
        <v>1</v>
      </c>
      <c r="K122" s="11" t="inlineStr">
        <is>
          <t>İRK (helical bevel)</t>
        </is>
      </c>
      <c r="L122" s="12" t="inlineStr">
        <is>
          <t>İRKP 103-SR  i=30.65  + IEC 160 B5 (foot mounted)</t>
        </is>
      </c>
      <c r="M122" s="13" t="inlineStr">
        <is>
          <t>İRKM 103 / 160 M 4b -SR (foot mounted)</t>
        </is>
      </c>
      <c r="N122" s="11" t="n">
        <v>30.65</v>
      </c>
      <c r="O122" s="11" t="n">
        <v>46</v>
      </c>
      <c r="P122" s="11" t="n">
        <v>2198</v>
      </c>
      <c r="Q122" s="13" t="inlineStr">
        <is>
          <t>Sf 1.9</t>
        </is>
      </c>
      <c r="R122" s="13" t="inlineStr">
        <is>
          <t>Gearmotor table, 4-pole motor, n1≈1400 rpm</t>
        </is>
      </c>
      <c r="S122" s="13" t="inlineStr">
        <is>
          <t>Solid output shaft (SR/SL), foot mounted</t>
        </is>
      </c>
      <c r="T122" s="13" t="inlineStr">
        <is>
          <t>IEC 160 B5 (motor 160 M 4b)</t>
        </is>
      </c>
      <c r="U122" s="13" t="inlineStr">
        <is>
          <t>Output flange option: İRKF…-FR-SR (flange mounted, solid shaft); SD double shaft</t>
        </is>
      </c>
      <c r="V122" s="13" t="inlineStr">
        <is>
          <t>IRK 2024: ratings p.88; dims p.165-166</t>
        </is>
      </c>
      <c r="W122" s="13" t="inlineStr">
        <is>
          <t>Smallest housing with Sf ≥ 1.5 at 11 kW / 1400 rpm. Ratio deviation +2.2% vs 1:30. Larger alternatives: 123 (i=30.13, Sf=3.3).</t>
        </is>
      </c>
      <c r="X122" s="14" t="inlineStr">
        <is>
          <t>IRKP 103 – IEC 160 B5 / B14 + single output shaft (foot)</t>
        </is>
      </c>
      <c r="Y122" s="15" t="inlineStr">
        <is>
          <t>p.33 (IRKP series) + p.30 (IRK options)</t>
        </is>
      </c>
      <c r="Z122" s="15" t="inlineStr">
        <is>
          <t>YES</t>
        </is>
      </c>
      <c r="AA122" s="15" t="inlineStr">
        <is>
          <t>IRKP gear unit €2,505.00 + single output shaft €68.00</t>
        </is>
      </c>
      <c r="AB122" s="16" t="n">
        <v>2573</v>
      </c>
      <c r="AC122" s="17">
        <f>$J122*AB122</f>
        <v/>
      </c>
      <c r="AD122" s="18">
        <f>ROUND(AB122*(1-$L$2),2)</f>
        <v/>
      </c>
      <c r="AE122" s="18">
        <f>$J122*AD122</f>
        <v/>
      </c>
      <c r="AF122" s="19" t="n">
        <v>129</v>
      </c>
      <c r="AG122" s="20">
        <f>ROUND(AF122*(1-$L$2),2)</f>
        <v/>
      </c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>
        <f>SUM(AF122,AH122,AJ122,AL122,AN122)</f>
        <v/>
      </c>
      <c r="AQ122" s="17">
        <f>SUM(AG122,AI122,AK122,AM122,AO122)</f>
        <v/>
      </c>
      <c r="AR122" s="17">
        <f>$J122*AP122</f>
        <v/>
      </c>
      <c r="AS122" s="17">
        <f>$J122*AQ122</f>
        <v/>
      </c>
      <c r="AT122" s="17">
        <f>AB122+AP122</f>
        <v/>
      </c>
      <c r="AU122" s="18">
        <f>AD122+AQ122</f>
        <v/>
      </c>
      <c r="AV122" s="17">
        <f>$J122*AT122</f>
        <v/>
      </c>
      <c r="AW122" s="18">
        <f>$J122*AU122</f>
        <v/>
      </c>
      <c r="AX122" s="21" t="inlineStr">
        <is>
          <t>Output flange on IRK/YP/İRS lines = extra cost of the flange-mounted version.</t>
        </is>
      </c>
      <c r="AY122" s="22" t="n"/>
    </row>
    <row r="123">
      <c r="A123" s="10" t="inlineStr">
        <is>
          <t>GB-119</t>
        </is>
      </c>
      <c r="B123" s="10" t="inlineStr">
        <is>
          <t>Helical Bevel</t>
        </is>
      </c>
      <c r="C123" s="10" t="inlineStr">
        <is>
          <t>K / Equivalent</t>
        </is>
      </c>
      <c r="D123" s="10" t="inlineStr">
        <is>
          <t>Supplier selection</t>
        </is>
      </c>
      <c r="E123" s="10" t="n">
        <v>15</v>
      </c>
      <c r="F123" s="10" t="inlineStr">
        <is>
          <t>1:30</t>
        </is>
      </c>
      <c r="G123" s="10" t="inlineStr">
        <is>
          <t>Foot mounted</t>
        </is>
      </c>
      <c r="H123" s="10" t="inlineStr">
        <is>
          <t>Solid output shaft</t>
        </is>
      </c>
      <c r="I123" s="10" t="inlineStr">
        <is>
          <t>IEC motor adaptor/input</t>
        </is>
      </c>
      <c r="J123" s="10" t="n">
        <v>1</v>
      </c>
      <c r="K123" s="11" t="inlineStr">
        <is>
          <t>İRK (helical bevel)</t>
        </is>
      </c>
      <c r="L123" s="12" t="inlineStr">
        <is>
          <t>İRKP 123-SR  i=30.13  + IEC 160 B5 (foot mounted)</t>
        </is>
      </c>
      <c r="M123" s="13" t="inlineStr">
        <is>
          <t>İRKM 123 / 160 L 4a -SR (foot mounted)</t>
        </is>
      </c>
      <c r="N123" s="11" t="n">
        <v>30.13</v>
      </c>
      <c r="O123" s="11" t="n">
        <v>46</v>
      </c>
      <c r="P123" s="11" t="n">
        <v>2946</v>
      </c>
      <c r="Q123" s="13" t="inlineStr">
        <is>
          <t>Sf 2.4</t>
        </is>
      </c>
      <c r="R123" s="13" t="inlineStr">
        <is>
          <t>Gearmotor table, 4-pole motor, n1≈1400 rpm</t>
        </is>
      </c>
      <c r="S123" s="13" t="inlineStr">
        <is>
          <t>Solid output shaft (SR/SL), foot mounted</t>
        </is>
      </c>
      <c r="T123" s="13" t="inlineStr">
        <is>
          <t>IEC 160 B5 (motor 160 L 4a)</t>
        </is>
      </c>
      <c r="U123" s="13" t="inlineStr">
        <is>
          <t>Output flange option: İRKF…-FR-SR (flange mounted, solid shaft); SD double shaft</t>
        </is>
      </c>
      <c r="V123" s="13" t="inlineStr">
        <is>
          <t>IRK 2024: ratings p.89; dims p.171-172</t>
        </is>
      </c>
      <c r="W123" s="13" t="inlineStr">
        <is>
          <t>Smallest housing with Sf ≥ 1.5 at 15 kW / 1400 rpm. Ratio deviation +0.4% vs 1:30.</t>
        </is>
      </c>
      <c r="X123" s="14" t="inlineStr">
        <is>
          <t>IRKP 123 – IEC 160 B5 + single output shaft (foot)</t>
        </is>
      </c>
      <c r="Y123" s="15" t="inlineStr">
        <is>
          <t>p.33 (IRKP series) + p.30 (IRK options)</t>
        </is>
      </c>
      <c r="Z123" s="15" t="inlineStr">
        <is>
          <t>YES</t>
        </is>
      </c>
      <c r="AA123" s="15" t="inlineStr">
        <is>
          <t>IRKP gear unit €3,876.00 + single output shaft €111.00</t>
        </is>
      </c>
      <c r="AB123" s="16" t="n">
        <v>3987</v>
      </c>
      <c r="AC123" s="17">
        <f>$J123*AB123</f>
        <v/>
      </c>
      <c r="AD123" s="18">
        <f>ROUND(AB123*(1-$L$2),2)</f>
        <v/>
      </c>
      <c r="AE123" s="18">
        <f>$J123*AD123</f>
        <v/>
      </c>
      <c r="AF123" s="19" t="n">
        <v>192</v>
      </c>
      <c r="AG123" s="20">
        <f>ROUND(AF123*(1-$L$2),2)</f>
        <v/>
      </c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>
        <f>SUM(AF123,AH123,AJ123,AL123,AN123)</f>
        <v/>
      </c>
      <c r="AQ123" s="17">
        <f>SUM(AG123,AI123,AK123,AM123,AO123)</f>
        <v/>
      </c>
      <c r="AR123" s="17">
        <f>$J123*AP123</f>
        <v/>
      </c>
      <c r="AS123" s="17">
        <f>$J123*AQ123</f>
        <v/>
      </c>
      <c r="AT123" s="17">
        <f>AB123+AP123</f>
        <v/>
      </c>
      <c r="AU123" s="18">
        <f>AD123+AQ123</f>
        <v/>
      </c>
      <c r="AV123" s="17">
        <f>$J123*AT123</f>
        <v/>
      </c>
      <c r="AW123" s="18">
        <f>$J123*AU123</f>
        <v/>
      </c>
      <c r="AX123" s="21" t="inlineStr">
        <is>
          <t>Output flange on IRK/YP/İRS lines = extra cost of the flange-mounted version.</t>
        </is>
      </c>
      <c r="AY123" s="22" t="n"/>
    </row>
    <row r="124">
      <c r="A124" s="10" t="inlineStr">
        <is>
          <t>GB-120</t>
        </is>
      </c>
      <c r="B124" s="10" t="inlineStr">
        <is>
          <t>Helical Bevel</t>
        </is>
      </c>
      <c r="C124" s="10" t="inlineStr">
        <is>
          <t>K / Equivalent</t>
        </is>
      </c>
      <c r="D124" s="10" t="inlineStr">
        <is>
          <t>Supplier selection</t>
        </is>
      </c>
      <c r="E124" s="10" t="n">
        <v>22</v>
      </c>
      <c r="F124" s="10" t="inlineStr">
        <is>
          <t>1:40</t>
        </is>
      </c>
      <c r="G124" s="10" t="inlineStr">
        <is>
          <t>Foot mounted</t>
        </is>
      </c>
      <c r="H124" s="10" t="inlineStr">
        <is>
          <t>Solid output shaft</t>
        </is>
      </c>
      <c r="I124" s="10" t="inlineStr">
        <is>
          <t>IEC motor adaptor/input</t>
        </is>
      </c>
      <c r="J124" s="10" t="n">
        <v>1</v>
      </c>
      <c r="K124" s="11" t="inlineStr">
        <is>
          <t>İRK (helical bevel)</t>
        </is>
      </c>
      <c r="L124" s="12" t="inlineStr">
        <is>
          <t>İRKP 143-SR  i=41.15  + IEC 180 B5 (foot mounted)</t>
        </is>
      </c>
      <c r="M124" s="13" t="inlineStr">
        <is>
          <t>İRKM 143 / 180 L 4b -SR (foot mounted)</t>
        </is>
      </c>
      <c r="N124" s="11" t="n">
        <v>41.15</v>
      </c>
      <c r="O124" s="11" t="n">
        <v>34</v>
      </c>
      <c r="P124" s="11" t="n">
        <v>5902</v>
      </c>
      <c r="Q124" s="13" t="inlineStr">
        <is>
          <t>Sf 2.2</t>
        </is>
      </c>
      <c r="R124" s="13" t="inlineStr">
        <is>
          <t>Gearmotor table, 4-pole motor, n1≈1400 rpm</t>
        </is>
      </c>
      <c r="S124" s="13" t="inlineStr">
        <is>
          <t>Solid output shaft (SR/SL), foot mounted</t>
        </is>
      </c>
      <c r="T124" s="13" t="inlineStr">
        <is>
          <t>IEC 180 B5 (motor 180 L 4b)</t>
        </is>
      </c>
      <c r="U124" s="13" t="inlineStr">
        <is>
          <t>Output flange option: İRKF…-FR-SR (flange mounted, solid shaft); SD double shaft</t>
        </is>
      </c>
      <c r="V124" s="13" t="inlineStr">
        <is>
          <t>IRK 2024: ratings p.92; dims p.177-178</t>
        </is>
      </c>
      <c r="W124" s="13" t="inlineStr">
        <is>
          <t>Smallest housing with Sf ≥ 1.5 at 22 kW / 1400 rpm. Ratio deviation +2.9% vs 1:40. Larger alternatives: 153 (i=41.99, Sf=3.0).</t>
        </is>
      </c>
      <c r="X124" s="14" t="inlineStr">
        <is>
          <t>IRKP 143 – IEC 180 B5 + single output shaft (foot)</t>
        </is>
      </c>
      <c r="Y124" s="15" t="inlineStr">
        <is>
          <t>p.34 (IRKP series) + p.30 (IRK options)</t>
        </is>
      </c>
      <c r="Z124" s="15" t="inlineStr">
        <is>
          <t>YES</t>
        </is>
      </c>
      <c r="AA124" s="15" t="inlineStr">
        <is>
          <t>IRKP gear unit €5,913.00 + single output shaft €174.00</t>
        </is>
      </c>
      <c r="AB124" s="16" t="n">
        <v>6087</v>
      </c>
      <c r="AC124" s="17">
        <f>$J124*AB124</f>
        <v/>
      </c>
      <c r="AD124" s="18">
        <f>ROUND(AB124*(1-$L$2),2)</f>
        <v/>
      </c>
      <c r="AE124" s="18">
        <f>$J124*AD124</f>
        <v/>
      </c>
      <c r="AF124" s="19" t="n">
        <v>302</v>
      </c>
      <c r="AG124" s="20">
        <f>ROUND(AF124*(1-$L$2),2)</f>
        <v/>
      </c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>
        <f>SUM(AF124,AH124,AJ124,AL124,AN124)</f>
        <v/>
      </c>
      <c r="AQ124" s="17">
        <f>SUM(AG124,AI124,AK124,AM124,AO124)</f>
        <v/>
      </c>
      <c r="AR124" s="17">
        <f>$J124*AP124</f>
        <v/>
      </c>
      <c r="AS124" s="17">
        <f>$J124*AQ124</f>
        <v/>
      </c>
      <c r="AT124" s="17">
        <f>AB124+AP124</f>
        <v/>
      </c>
      <c r="AU124" s="18">
        <f>AD124+AQ124</f>
        <v/>
      </c>
      <c r="AV124" s="17">
        <f>$J124*AT124</f>
        <v/>
      </c>
      <c r="AW124" s="18">
        <f>$J124*AU124</f>
        <v/>
      </c>
      <c r="AX124" s="21" t="inlineStr">
        <is>
          <t>Output flange on IRK/YP/İRS lines = extra cost of the flange-mounted version.</t>
        </is>
      </c>
      <c r="AY124" s="22" t="n"/>
    </row>
    <row r="125">
      <c r="A125" s="10" t="inlineStr">
        <is>
          <t>GB-121</t>
        </is>
      </c>
      <c r="B125" s="10" t="inlineStr">
        <is>
          <t>Parallel Shaft</t>
        </is>
      </c>
      <c r="C125" s="10" t="inlineStr">
        <is>
          <t>F / Equivalent</t>
        </is>
      </c>
      <c r="D125" s="10" t="inlineStr">
        <is>
          <t>Supplier selection</t>
        </is>
      </c>
      <c r="E125" s="10" t="n">
        <v>1.5</v>
      </c>
      <c r="F125" s="10" t="inlineStr">
        <is>
          <t>1:10</t>
        </is>
      </c>
      <c r="G125" s="10" t="inlineStr">
        <is>
          <t>Torque-arm / universal</t>
        </is>
      </c>
      <c r="H125" s="10" t="inlineStr">
        <is>
          <t>Hollow shaft, keyed</t>
        </is>
      </c>
      <c r="I125" s="10" t="inlineStr">
        <is>
          <t>IEC motor adaptor/input</t>
        </is>
      </c>
      <c r="J125" s="10" t="n">
        <v>1</v>
      </c>
      <c r="K125" s="11" t="inlineStr">
        <is>
          <t>YP (parallel shaft)</t>
        </is>
      </c>
      <c r="L125" s="12" t="inlineStr">
        <is>
          <t>YPP 52-TL  i=9.997  + IEC 90 B5</t>
        </is>
      </c>
      <c r="M125" s="13" t="inlineStr">
        <is>
          <t>YPM 52 / 90 L 4a -TL</t>
        </is>
      </c>
      <c r="N125" s="11" t="n">
        <v>9.997</v>
      </c>
      <c r="O125" s="11" t="n">
        <v>140</v>
      </c>
      <c r="P125" s="11" t="n">
        <v>99</v>
      </c>
      <c r="Q125" s="13" t="inlineStr">
        <is>
          <t>Sf 1.98</t>
        </is>
      </c>
      <c r="R125" s="13" t="inlineStr">
        <is>
          <t>Gearmotor table, 4-pole motor, n1≈1400 rpm</t>
        </is>
      </c>
      <c r="S125" s="13" t="inlineStr">
        <is>
          <t>Hollow shaft, keyed</t>
        </is>
      </c>
      <c r="T125" s="13" t="inlineStr">
        <is>
          <t>IEC 90 B5 (motor 90 L 4a)</t>
        </is>
      </c>
      <c r="U125" s="13" t="inlineStr">
        <is>
          <t>TL torque arm (include); SDL shrink disc option; H retaining washer; OC output cover</t>
        </is>
      </c>
      <c r="V125" s="13" t="inlineStr">
        <is>
          <t>YP 2025: ratings p.68; dims p.139-140</t>
        </is>
      </c>
      <c r="W125" s="13" t="inlineStr">
        <is>
          <t>Smallest housing with Sf ≥ 1.5 at 1.5 kW / 1400 rpm. Ratio deviation -0.0% vs 1:10. Larger alternatives: 62 (i=10.09, Sf=3.7).</t>
        </is>
      </c>
      <c r="X125" s="14" t="inlineStr">
        <is>
          <t>YPP 52 – IEC 90 B5 / B14</t>
        </is>
      </c>
      <c r="Y125" s="15" t="inlineStr">
        <is>
          <t>p.45 (YPP series) + p.44 (YP options)</t>
        </is>
      </c>
      <c r="Z125" s="15" t="inlineStr">
        <is>
          <t>YES</t>
        </is>
      </c>
      <c r="AA125" s="15" t="inlineStr">
        <is>
          <t>YPP gear unit with IEC input flange, hollow output shaft</t>
        </is>
      </c>
      <c r="AB125" s="16" t="n">
        <v>294</v>
      </c>
      <c r="AC125" s="17">
        <f>$J125*AB125</f>
        <v/>
      </c>
      <c r="AD125" s="18">
        <f>ROUND(AB125*(1-$L$2),2)</f>
        <v/>
      </c>
      <c r="AE125" s="18">
        <f>$J125*AD125</f>
        <v/>
      </c>
      <c r="AF125" s="17" t="n"/>
      <c r="AG125" s="17" t="n"/>
      <c r="AH125" s="17" t="n"/>
      <c r="AI125" s="17" t="n"/>
      <c r="AJ125" s="17" t="n"/>
      <c r="AK125" s="17" t="n"/>
      <c r="AL125" s="19" t="n">
        <v>60</v>
      </c>
      <c r="AM125" s="20">
        <f>ROUND(AL125*(1-$L$2),2)</f>
        <v/>
      </c>
      <c r="AN125" s="17" t="n"/>
      <c r="AO125" s="17" t="n"/>
      <c r="AP125" s="17">
        <f>SUM(AF125,AH125,AJ125,AL125,AN125)</f>
        <v/>
      </c>
      <c r="AQ125" s="17">
        <f>SUM(AG125,AI125,AK125,AM125,AO125)</f>
        <v/>
      </c>
      <c r="AR125" s="17">
        <f>$J125*AP125</f>
        <v/>
      </c>
      <c r="AS125" s="17">
        <f>$J125*AQ125</f>
        <v/>
      </c>
      <c r="AT125" s="17">
        <f>AB125+AP125</f>
        <v/>
      </c>
      <c r="AU125" s="18">
        <f>AD125+AQ125</f>
        <v/>
      </c>
      <c r="AV125" s="17">
        <f>$J125*AT125</f>
        <v/>
      </c>
      <c r="AW125" s="18">
        <f>$J125*AU125</f>
        <v/>
      </c>
      <c r="AX125" s="23" t="inlineStr">
        <is>
          <t>YP torque arm not in price list – ask İ.Mak</t>
        </is>
      </c>
      <c r="AY125" s="22" t="n"/>
    </row>
    <row r="126">
      <c r="A126" s="10" t="inlineStr">
        <is>
          <t>GB-122</t>
        </is>
      </c>
      <c r="B126" s="10" t="inlineStr">
        <is>
          <t>Parallel Shaft</t>
        </is>
      </c>
      <c r="C126" s="10" t="inlineStr">
        <is>
          <t>F / Equivalent</t>
        </is>
      </c>
      <c r="D126" s="10" t="inlineStr">
        <is>
          <t>Supplier selection</t>
        </is>
      </c>
      <c r="E126" s="10" t="n">
        <v>1.5</v>
      </c>
      <c r="F126" s="10" t="inlineStr">
        <is>
          <t>1:20</t>
        </is>
      </c>
      <c r="G126" s="10" t="inlineStr">
        <is>
          <t>Torque-arm / universal</t>
        </is>
      </c>
      <c r="H126" s="10" t="inlineStr">
        <is>
          <t>Hollow shaft, keyed</t>
        </is>
      </c>
      <c r="I126" s="10" t="inlineStr">
        <is>
          <t>IEC motor adaptor/input</t>
        </is>
      </c>
      <c r="J126" s="10" t="n">
        <v>1</v>
      </c>
      <c r="K126" s="11" t="inlineStr">
        <is>
          <t>YP (parallel shaft)</t>
        </is>
      </c>
      <c r="L126" s="12" t="inlineStr">
        <is>
          <t>YPP 62-TL  i=20.18  + IEC 90 B5</t>
        </is>
      </c>
      <c r="M126" s="13" t="inlineStr">
        <is>
          <t>YPM 62 / 90 L 4a -TL</t>
        </is>
      </c>
      <c r="N126" s="11" t="n">
        <v>20.18</v>
      </c>
      <c r="O126" s="11" t="n">
        <v>69</v>
      </c>
      <c r="P126" s="11" t="n">
        <v>200</v>
      </c>
      <c r="Q126" s="13" t="inlineStr">
        <is>
          <t>Sf 2.1</t>
        </is>
      </c>
      <c r="R126" s="13" t="inlineStr">
        <is>
          <t>Gearmotor table, 4-pole motor, n1≈1400 rpm</t>
        </is>
      </c>
      <c r="S126" s="13" t="inlineStr">
        <is>
          <t>Hollow shaft, keyed</t>
        </is>
      </c>
      <c r="T126" s="13" t="inlineStr">
        <is>
          <t>IEC 90 B5 (motor 90 L 4a)</t>
        </is>
      </c>
      <c r="U126" s="13" t="inlineStr">
        <is>
          <t>TL torque arm (include); SDL shrink disc option; H retaining washer; OC output cover</t>
        </is>
      </c>
      <c r="V126" s="13" t="inlineStr">
        <is>
          <t>YP 2025: ratings p.68; dims p.143-144</t>
        </is>
      </c>
      <c r="W126" s="13" t="inlineStr">
        <is>
          <t>Smallest housing with Sf ≥ 1.5 at 1.5 kW / 1400 rpm. Ratio deviation +0.9% vs 1:20. Larger alternatives: 72 (i=19.89, Sf=4.2).</t>
        </is>
      </c>
      <c r="X126" s="14" t="inlineStr">
        <is>
          <t>YPP 62 – IEC 90 B5 / B14</t>
        </is>
      </c>
      <c r="Y126" s="15" t="inlineStr">
        <is>
          <t>p.45 (YPP series) + p.44 (YP options)</t>
        </is>
      </c>
      <c r="Z126" s="15" t="inlineStr">
        <is>
          <t>YES</t>
        </is>
      </c>
      <c r="AA126" s="15" t="inlineStr">
        <is>
          <t>YPP gear unit with IEC input flange, hollow output shaft</t>
        </is>
      </c>
      <c r="AB126" s="16" t="n">
        <v>396</v>
      </c>
      <c r="AC126" s="17">
        <f>$J126*AB126</f>
        <v/>
      </c>
      <c r="AD126" s="18">
        <f>ROUND(AB126*(1-$L$2),2)</f>
        <v/>
      </c>
      <c r="AE126" s="18">
        <f>$J126*AD126</f>
        <v/>
      </c>
      <c r="AF126" s="17" t="n"/>
      <c r="AG126" s="17" t="n"/>
      <c r="AH126" s="17" t="n"/>
      <c r="AI126" s="17" t="n"/>
      <c r="AJ126" s="17" t="n"/>
      <c r="AK126" s="17" t="n"/>
      <c r="AL126" s="19" t="n">
        <v>68</v>
      </c>
      <c r="AM126" s="20">
        <f>ROUND(AL126*(1-$L$2),2)</f>
        <v/>
      </c>
      <c r="AN126" s="17" t="n"/>
      <c r="AO126" s="17" t="n"/>
      <c r="AP126" s="17">
        <f>SUM(AF126,AH126,AJ126,AL126,AN126)</f>
        <v/>
      </c>
      <c r="AQ126" s="17">
        <f>SUM(AG126,AI126,AK126,AM126,AO126)</f>
        <v/>
      </c>
      <c r="AR126" s="17">
        <f>$J126*AP126</f>
        <v/>
      </c>
      <c r="AS126" s="17">
        <f>$J126*AQ126</f>
        <v/>
      </c>
      <c r="AT126" s="17">
        <f>AB126+AP126</f>
        <v/>
      </c>
      <c r="AU126" s="18">
        <f>AD126+AQ126</f>
        <v/>
      </c>
      <c r="AV126" s="17">
        <f>$J126*AT126</f>
        <v/>
      </c>
      <c r="AW126" s="18">
        <f>$J126*AU126</f>
        <v/>
      </c>
      <c r="AX126" s="23" t="inlineStr">
        <is>
          <t>YP torque arm not in price list – ask İ.Mak</t>
        </is>
      </c>
      <c r="AY126" s="22" t="n"/>
    </row>
    <row r="127">
      <c r="A127" s="10" t="inlineStr">
        <is>
          <t>GB-123</t>
        </is>
      </c>
      <c r="B127" s="10" t="inlineStr">
        <is>
          <t>Parallel Shaft</t>
        </is>
      </c>
      <c r="C127" s="10" t="inlineStr">
        <is>
          <t>F / Equivalent</t>
        </is>
      </c>
      <c r="D127" s="10" t="inlineStr">
        <is>
          <t>Supplier selection</t>
        </is>
      </c>
      <c r="E127" s="10" t="n">
        <v>2.2</v>
      </c>
      <c r="F127" s="10" t="inlineStr">
        <is>
          <t>1:15</t>
        </is>
      </c>
      <c r="G127" s="10" t="inlineStr">
        <is>
          <t>Torque-arm / universal</t>
        </is>
      </c>
      <c r="H127" s="10" t="inlineStr">
        <is>
          <t>Hollow shaft, keyed</t>
        </is>
      </c>
      <c r="I127" s="10" t="inlineStr">
        <is>
          <t>IEC motor adaptor/input</t>
        </is>
      </c>
      <c r="J127" s="10" t="n">
        <v>1</v>
      </c>
      <c r="K127" s="11" t="inlineStr">
        <is>
          <t>YP (parallel shaft)</t>
        </is>
      </c>
      <c r="L127" s="12" t="inlineStr">
        <is>
          <t>YPP 62-TL  i=14.78  + IEC 100 B5</t>
        </is>
      </c>
      <c r="M127" s="13" t="inlineStr">
        <is>
          <t>YPM 62 / 100 L 4a -TL</t>
        </is>
      </c>
      <c r="N127" s="11" t="n">
        <v>14.78</v>
      </c>
      <c r="O127" s="11" t="n">
        <v>95</v>
      </c>
      <c r="P127" s="11" t="n">
        <v>215</v>
      </c>
      <c r="Q127" s="13" t="inlineStr">
        <is>
          <t>Sf 1.85</t>
        </is>
      </c>
      <c r="R127" s="13" t="inlineStr">
        <is>
          <t>Gearmotor table, 4-pole motor, n1≈1400 rpm</t>
        </is>
      </c>
      <c r="S127" s="13" t="inlineStr">
        <is>
          <t>Hollow shaft, keyed</t>
        </is>
      </c>
      <c r="T127" s="13" t="inlineStr">
        <is>
          <t>IEC 100 B5 (motor 100 L 4a)</t>
        </is>
      </c>
      <c r="U127" s="13" t="inlineStr">
        <is>
          <t>TL torque arm (include); SDL shrink disc option; H retaining washer; OC output cover</t>
        </is>
      </c>
      <c r="V127" s="13" t="inlineStr">
        <is>
          <t>YP 2025: ratings p.71; dims p.143-144</t>
        </is>
      </c>
      <c r="W127" s="13" t="inlineStr">
        <is>
          <t>Smallest housing with Sf ≥ 1.5 at 2.2 kW / 1400 rpm. Ratio deviation -1.5% vs 1:15. Larger alternatives: 72 (i=15.61, Sf=3.6).</t>
        </is>
      </c>
      <c r="X127" s="14" t="inlineStr">
        <is>
          <t>YPP 62 – IEC 100 B5 / B14</t>
        </is>
      </c>
      <c r="Y127" s="15" t="inlineStr">
        <is>
          <t>p.45 (YPP series) + p.44 (YP options)</t>
        </is>
      </c>
      <c r="Z127" s="15" t="inlineStr">
        <is>
          <t>YES</t>
        </is>
      </c>
      <c r="AA127" s="15" t="inlineStr">
        <is>
          <t>YPP gear unit with IEC input flange, hollow output shaft</t>
        </is>
      </c>
      <c r="AB127" s="16" t="n">
        <v>411</v>
      </c>
      <c r="AC127" s="17">
        <f>$J127*AB127</f>
        <v/>
      </c>
      <c r="AD127" s="18">
        <f>ROUND(AB127*(1-$L$2),2)</f>
        <v/>
      </c>
      <c r="AE127" s="18">
        <f>$J127*AD127</f>
        <v/>
      </c>
      <c r="AF127" s="17" t="n"/>
      <c r="AG127" s="17" t="n"/>
      <c r="AH127" s="17" t="n"/>
      <c r="AI127" s="17" t="n"/>
      <c r="AJ127" s="17" t="n"/>
      <c r="AK127" s="17" t="n"/>
      <c r="AL127" s="19" t="n">
        <v>68</v>
      </c>
      <c r="AM127" s="20">
        <f>ROUND(AL127*(1-$L$2),2)</f>
        <v/>
      </c>
      <c r="AN127" s="17" t="n"/>
      <c r="AO127" s="17" t="n"/>
      <c r="AP127" s="17">
        <f>SUM(AF127,AH127,AJ127,AL127,AN127)</f>
        <v/>
      </c>
      <c r="AQ127" s="17">
        <f>SUM(AG127,AI127,AK127,AM127,AO127)</f>
        <v/>
      </c>
      <c r="AR127" s="17">
        <f>$J127*AP127</f>
        <v/>
      </c>
      <c r="AS127" s="17">
        <f>$J127*AQ127</f>
        <v/>
      </c>
      <c r="AT127" s="17">
        <f>AB127+AP127</f>
        <v/>
      </c>
      <c r="AU127" s="18">
        <f>AD127+AQ127</f>
        <v/>
      </c>
      <c r="AV127" s="17">
        <f>$J127*AT127</f>
        <v/>
      </c>
      <c r="AW127" s="18">
        <f>$J127*AU127</f>
        <v/>
      </c>
      <c r="AX127" s="23" t="inlineStr">
        <is>
          <t>YP torque arm not in price list – ask İ.Mak</t>
        </is>
      </c>
      <c r="AY127" s="22" t="n"/>
    </row>
    <row r="128">
      <c r="A128" s="10" t="inlineStr">
        <is>
          <t>GB-124</t>
        </is>
      </c>
      <c r="B128" s="10" t="inlineStr">
        <is>
          <t>Parallel Shaft</t>
        </is>
      </c>
      <c r="C128" s="10" t="inlineStr">
        <is>
          <t>F / Equivalent</t>
        </is>
      </c>
      <c r="D128" s="10" t="inlineStr">
        <is>
          <t>Supplier selection</t>
        </is>
      </c>
      <c r="E128" s="10" t="n">
        <v>2.2</v>
      </c>
      <c r="F128" s="10" t="inlineStr">
        <is>
          <t>1:30</t>
        </is>
      </c>
      <c r="G128" s="10" t="inlineStr">
        <is>
          <t>Torque-arm / universal</t>
        </is>
      </c>
      <c r="H128" s="10" t="inlineStr">
        <is>
          <t>Hollow shaft, keyed</t>
        </is>
      </c>
      <c r="I128" s="10" t="inlineStr">
        <is>
          <t>IEC motor adaptor/input</t>
        </is>
      </c>
      <c r="J128" s="10" t="n">
        <v>1</v>
      </c>
      <c r="K128" s="11" t="inlineStr">
        <is>
          <t>YP (parallel shaft)</t>
        </is>
      </c>
      <c r="L128" s="12" t="inlineStr">
        <is>
          <t>YPP 73-TL  i=29.69  + IEC 100 B5</t>
        </is>
      </c>
      <c r="M128" s="13" t="inlineStr">
        <is>
          <t>YPM 73 / 100 L 4a -TL</t>
        </is>
      </c>
      <c r="N128" s="11" t="n">
        <v>29.69</v>
      </c>
      <c r="O128" s="11" t="n">
        <v>47</v>
      </c>
      <c r="P128" s="11" t="n">
        <v>426</v>
      </c>
      <c r="Q128" s="13" t="inlineStr">
        <is>
          <t>Sf 1.85</t>
        </is>
      </c>
      <c r="R128" s="13" t="inlineStr">
        <is>
          <t>Gearmotor table, 4-pole motor, n1≈1400 rpm</t>
        </is>
      </c>
      <c r="S128" s="13" t="inlineStr">
        <is>
          <t>Hollow shaft, keyed</t>
        </is>
      </c>
      <c r="T128" s="13" t="inlineStr">
        <is>
          <t>IEC 100 B5 (motor 100 L 4a)</t>
        </is>
      </c>
      <c r="U128" s="13" t="inlineStr">
        <is>
          <t>TL torque arm (include); SDL shrink disc option; H retaining washer; OC output cover</t>
        </is>
      </c>
      <c r="V128" s="13" t="inlineStr">
        <is>
          <t>YP 2025: ratings p.71; dims p.147-148</t>
        </is>
      </c>
      <c r="W128" s="13" t="inlineStr">
        <is>
          <t>Smallest housing with Sf ≥ 1.5 at 2.2 kW / 1400 rpm. Ratio deviation -1.0% vs 1:30. Larger alternatives: 83 (i=30.34, Sf=3.5).</t>
        </is>
      </c>
      <c r="X128" s="14" t="inlineStr">
        <is>
          <t>YPP 73 – IEC 100 B5 / B14</t>
        </is>
      </c>
      <c r="Y128" s="15" t="inlineStr">
        <is>
          <t>p.45 (YPP series) + p.44 (YP options)</t>
        </is>
      </c>
      <c r="Z128" s="15" t="inlineStr">
        <is>
          <t>YES</t>
        </is>
      </c>
      <c r="AA128" s="15" t="inlineStr">
        <is>
          <t>YPP gear unit with IEC input flange, hollow output shaft</t>
        </is>
      </c>
      <c r="AB128" s="16" t="n">
        <v>609</v>
      </c>
      <c r="AC128" s="17">
        <f>$J128*AB128</f>
        <v/>
      </c>
      <c r="AD128" s="18">
        <f>ROUND(AB128*(1-$L$2),2)</f>
        <v/>
      </c>
      <c r="AE128" s="18">
        <f>$J128*AD128</f>
        <v/>
      </c>
      <c r="AF128" s="17" t="n"/>
      <c r="AG128" s="17" t="n"/>
      <c r="AH128" s="17" t="n"/>
      <c r="AI128" s="17" t="n"/>
      <c r="AJ128" s="17" t="n"/>
      <c r="AK128" s="17" t="n"/>
      <c r="AL128" s="19" t="n">
        <v>103</v>
      </c>
      <c r="AM128" s="20">
        <f>ROUND(AL128*(1-$L$2),2)</f>
        <v/>
      </c>
      <c r="AN128" s="17" t="n"/>
      <c r="AO128" s="17" t="n"/>
      <c r="AP128" s="17">
        <f>SUM(AF128,AH128,AJ128,AL128,AN128)</f>
        <v/>
      </c>
      <c r="AQ128" s="17">
        <f>SUM(AG128,AI128,AK128,AM128,AO128)</f>
        <v/>
      </c>
      <c r="AR128" s="17">
        <f>$J128*AP128</f>
        <v/>
      </c>
      <c r="AS128" s="17">
        <f>$J128*AQ128</f>
        <v/>
      </c>
      <c r="AT128" s="17">
        <f>AB128+AP128</f>
        <v/>
      </c>
      <c r="AU128" s="18">
        <f>AD128+AQ128</f>
        <v/>
      </c>
      <c r="AV128" s="17">
        <f>$J128*AT128</f>
        <v/>
      </c>
      <c r="AW128" s="18">
        <f>$J128*AU128</f>
        <v/>
      </c>
      <c r="AX128" s="23" t="inlineStr">
        <is>
          <t>YP torque arm not in price list – ask İ.Mak</t>
        </is>
      </c>
      <c r="AY128" s="22" t="n"/>
    </row>
    <row r="129">
      <c r="A129" s="10" t="inlineStr">
        <is>
          <t>GB-125</t>
        </is>
      </c>
      <c r="B129" s="10" t="inlineStr">
        <is>
          <t>Parallel Shaft</t>
        </is>
      </c>
      <c r="C129" s="10" t="inlineStr">
        <is>
          <t>F / Equivalent</t>
        </is>
      </c>
      <c r="D129" s="10" t="inlineStr">
        <is>
          <t>Supplier selection</t>
        </is>
      </c>
      <c r="E129" s="10" t="n">
        <v>3</v>
      </c>
      <c r="F129" s="10" t="inlineStr">
        <is>
          <t>1:20</t>
        </is>
      </c>
      <c r="G129" s="10" t="inlineStr">
        <is>
          <t>Torque-arm / universal</t>
        </is>
      </c>
      <c r="H129" s="10" t="inlineStr">
        <is>
          <t>Hollow shaft, keyed</t>
        </is>
      </c>
      <c r="I129" s="10" t="inlineStr">
        <is>
          <t>IEC motor adaptor/input</t>
        </is>
      </c>
      <c r="J129" s="10" t="n">
        <v>1</v>
      </c>
      <c r="K129" s="11" t="inlineStr">
        <is>
          <t>YP (parallel shaft)</t>
        </is>
      </c>
      <c r="L129" s="12" t="inlineStr">
        <is>
          <t>YPP 72-TL  i=19.89  + IEC 100 B5</t>
        </is>
      </c>
      <c r="M129" s="13" t="inlineStr">
        <is>
          <t>YPM 72 / 100 L 4b -TL</t>
        </is>
      </c>
      <c r="N129" s="11" t="n">
        <v>19.89</v>
      </c>
      <c r="O129" s="11" t="n">
        <v>70</v>
      </c>
      <c r="P129" s="11" t="n">
        <v>395</v>
      </c>
      <c r="Q129" s="13" t="inlineStr">
        <is>
          <t>Sf 2.1</t>
        </is>
      </c>
      <c r="R129" s="13" t="inlineStr">
        <is>
          <t>Gearmotor table, 4-pole motor, n1≈1400 rpm</t>
        </is>
      </c>
      <c r="S129" s="13" t="inlineStr">
        <is>
          <t>Hollow shaft, keyed</t>
        </is>
      </c>
      <c r="T129" s="13" t="inlineStr">
        <is>
          <t>IEC 100 B5 (motor 100 L 4b)</t>
        </is>
      </c>
      <c r="U129" s="13" t="inlineStr">
        <is>
          <t>TL torque arm (include); SDL shrink disc option; H retaining washer; OC output cover</t>
        </is>
      </c>
      <c r="V129" s="13" t="inlineStr">
        <is>
          <t>YP 2025: ratings p.74; dims p.147-148</t>
        </is>
      </c>
      <c r="W129" s="13" t="inlineStr">
        <is>
          <t>Smallest housing with Sf ≥ 1.5 at 3 kW / 1400 rpm. Ratio deviation -0.5% vs 1:20. Larger alternatives: 82 (i=20.69, Sf=3.1).</t>
        </is>
      </c>
      <c r="X129" s="14" t="inlineStr">
        <is>
          <t>YPP 72 – IEC 100 B5 / B14</t>
        </is>
      </c>
      <c r="Y129" s="15" t="inlineStr">
        <is>
          <t>p.45 (YPP series) + p.44 (YP options)</t>
        </is>
      </c>
      <c r="Z129" s="15" t="inlineStr">
        <is>
          <t>YES</t>
        </is>
      </c>
      <c r="AA129" s="15" t="inlineStr">
        <is>
          <t>YPP gear unit with IEC input flange, hollow output shaft</t>
        </is>
      </c>
      <c r="AB129" s="16" t="n">
        <v>589</v>
      </c>
      <c r="AC129" s="17">
        <f>$J129*AB129</f>
        <v/>
      </c>
      <c r="AD129" s="18">
        <f>ROUND(AB129*(1-$L$2),2)</f>
        <v/>
      </c>
      <c r="AE129" s="18">
        <f>$J129*AD129</f>
        <v/>
      </c>
      <c r="AF129" s="17" t="n"/>
      <c r="AG129" s="17" t="n"/>
      <c r="AH129" s="17" t="n"/>
      <c r="AI129" s="17" t="n"/>
      <c r="AJ129" s="17" t="n"/>
      <c r="AK129" s="17" t="n"/>
      <c r="AL129" s="19" t="n">
        <v>103</v>
      </c>
      <c r="AM129" s="20">
        <f>ROUND(AL129*(1-$L$2),2)</f>
        <v/>
      </c>
      <c r="AN129" s="17" t="n"/>
      <c r="AO129" s="17" t="n"/>
      <c r="AP129" s="17">
        <f>SUM(AF129,AH129,AJ129,AL129,AN129)</f>
        <v/>
      </c>
      <c r="AQ129" s="17">
        <f>SUM(AG129,AI129,AK129,AM129,AO129)</f>
        <v/>
      </c>
      <c r="AR129" s="17">
        <f>$J129*AP129</f>
        <v/>
      </c>
      <c r="AS129" s="17">
        <f>$J129*AQ129</f>
        <v/>
      </c>
      <c r="AT129" s="17">
        <f>AB129+AP129</f>
        <v/>
      </c>
      <c r="AU129" s="18">
        <f>AD129+AQ129</f>
        <v/>
      </c>
      <c r="AV129" s="17">
        <f>$J129*AT129</f>
        <v/>
      </c>
      <c r="AW129" s="18">
        <f>$J129*AU129</f>
        <v/>
      </c>
      <c r="AX129" s="23" t="inlineStr">
        <is>
          <t>YP torque arm not in price list – ask İ.Mak</t>
        </is>
      </c>
      <c r="AY129" s="22" t="n"/>
    </row>
    <row r="130">
      <c r="A130" s="10" t="inlineStr">
        <is>
          <t>GB-126</t>
        </is>
      </c>
      <c r="B130" s="10" t="inlineStr">
        <is>
          <t>Parallel Shaft</t>
        </is>
      </c>
      <c r="C130" s="10" t="inlineStr">
        <is>
          <t>F / Equivalent</t>
        </is>
      </c>
      <c r="D130" s="10" t="inlineStr">
        <is>
          <t>Supplier selection</t>
        </is>
      </c>
      <c r="E130" s="10" t="n">
        <v>3</v>
      </c>
      <c r="F130" s="10" t="inlineStr">
        <is>
          <t>1:40</t>
        </is>
      </c>
      <c r="G130" s="10" t="inlineStr">
        <is>
          <t>Torque-arm / universal</t>
        </is>
      </c>
      <c r="H130" s="10" t="inlineStr">
        <is>
          <t>Hollow shaft, keyed</t>
        </is>
      </c>
      <c r="I130" s="10" t="inlineStr">
        <is>
          <t>IEC motor adaptor/input</t>
        </is>
      </c>
      <c r="J130" s="10" t="n">
        <v>1</v>
      </c>
      <c r="K130" s="11" t="inlineStr">
        <is>
          <t>YP (parallel shaft)</t>
        </is>
      </c>
      <c r="L130" s="12" t="inlineStr">
        <is>
          <t>YPP 83-TL  i=42.58  + IEC 100 B5</t>
        </is>
      </c>
      <c r="M130" s="13" t="inlineStr">
        <is>
          <t>YPM 83 / 100 L 4b -TL</t>
        </is>
      </c>
      <c r="N130" s="11" t="n">
        <v>42.58</v>
      </c>
      <c r="O130" s="11" t="n">
        <v>33</v>
      </c>
      <c r="P130" s="11" t="n">
        <v>833</v>
      </c>
      <c r="Q130" s="13" t="inlineStr">
        <is>
          <t>Sf 1.85</t>
        </is>
      </c>
      <c r="R130" s="13" t="inlineStr">
        <is>
          <t>Gearmotor table, 4-pole motor, n1≈1400 rpm</t>
        </is>
      </c>
      <c r="S130" s="13" t="inlineStr">
        <is>
          <t>Hollow shaft, keyed</t>
        </is>
      </c>
      <c r="T130" s="13" t="inlineStr">
        <is>
          <t>IEC 100 B5 (motor 100 L 4b)</t>
        </is>
      </c>
      <c r="U130" s="13" t="inlineStr">
        <is>
          <t>TL torque arm (include); SDL shrink disc option; H retaining washer; OC output cover</t>
        </is>
      </c>
      <c r="V130" s="13" t="inlineStr">
        <is>
          <t>YP 2025: ratings p.74; dims p.153-154</t>
        </is>
      </c>
      <c r="W130" s="13" t="inlineStr">
        <is>
          <t>Smallest housing with Sf ≥ 1.5 at 3 kW / 1400 rpm. Ratio deviation +6.4% vs 1:40.</t>
        </is>
      </c>
      <c r="X130" s="14" t="inlineStr">
        <is>
          <t>YPP 83 – IEC 100 B5 / B14</t>
        </is>
      </c>
      <c r="Y130" s="15" t="inlineStr">
        <is>
          <t>p.46 (YPP series) + p.44 (YP options)</t>
        </is>
      </c>
      <c r="Z130" s="15" t="inlineStr">
        <is>
          <t>YES</t>
        </is>
      </c>
      <c r="AA130" s="15" t="inlineStr">
        <is>
          <t>YPP gear unit with IEC input flange, hollow output shaft</t>
        </is>
      </c>
      <c r="AB130" s="16" t="n">
        <v>919</v>
      </c>
      <c r="AC130" s="17">
        <f>$J130*AB130</f>
        <v/>
      </c>
      <c r="AD130" s="18">
        <f>ROUND(AB130*(1-$L$2),2)</f>
        <v/>
      </c>
      <c r="AE130" s="18">
        <f>$J130*AD130</f>
        <v/>
      </c>
      <c r="AF130" s="17" t="n"/>
      <c r="AG130" s="17" t="n"/>
      <c r="AH130" s="17" t="n"/>
      <c r="AI130" s="17" t="n"/>
      <c r="AJ130" s="17" t="n"/>
      <c r="AK130" s="17" t="n"/>
      <c r="AL130" s="19" t="n">
        <v>162</v>
      </c>
      <c r="AM130" s="20">
        <f>ROUND(AL130*(1-$L$2),2)</f>
        <v/>
      </c>
      <c r="AN130" s="17" t="n"/>
      <c r="AO130" s="17" t="n"/>
      <c r="AP130" s="17">
        <f>SUM(AF130,AH130,AJ130,AL130,AN130)</f>
        <v/>
      </c>
      <c r="AQ130" s="17">
        <f>SUM(AG130,AI130,AK130,AM130,AO130)</f>
        <v/>
      </c>
      <c r="AR130" s="17">
        <f>$J130*AP130</f>
        <v/>
      </c>
      <c r="AS130" s="17">
        <f>$J130*AQ130</f>
        <v/>
      </c>
      <c r="AT130" s="17">
        <f>AB130+AP130</f>
        <v/>
      </c>
      <c r="AU130" s="18">
        <f>AD130+AQ130</f>
        <v/>
      </c>
      <c r="AV130" s="17">
        <f>$J130*AT130</f>
        <v/>
      </c>
      <c r="AW130" s="18">
        <f>$J130*AU130</f>
        <v/>
      </c>
      <c r="AX130" s="23" t="inlineStr">
        <is>
          <t>YP torque arm not in price list – ask İ.Mak</t>
        </is>
      </c>
      <c r="AY130" s="22" t="n"/>
    </row>
    <row r="131">
      <c r="A131" s="10" t="inlineStr">
        <is>
          <t>GB-127</t>
        </is>
      </c>
      <c r="B131" s="10" t="inlineStr">
        <is>
          <t>Parallel Shaft</t>
        </is>
      </c>
      <c r="C131" s="10" t="inlineStr">
        <is>
          <t>F / Equivalent</t>
        </is>
      </c>
      <c r="D131" s="10" t="inlineStr">
        <is>
          <t>Supplier selection</t>
        </is>
      </c>
      <c r="E131" s="10" t="n">
        <v>4</v>
      </c>
      <c r="F131" s="10" t="inlineStr">
        <is>
          <t>1:20</t>
        </is>
      </c>
      <c r="G131" s="10" t="inlineStr">
        <is>
          <t>Torque-arm / universal</t>
        </is>
      </c>
      <c r="H131" s="10" t="inlineStr">
        <is>
          <t>Hollow shaft, keyed</t>
        </is>
      </c>
      <c r="I131" s="10" t="inlineStr">
        <is>
          <t>IEC motor adaptor/input</t>
        </is>
      </c>
      <c r="J131" s="10" t="n">
        <v>1</v>
      </c>
      <c r="K131" s="11" t="inlineStr">
        <is>
          <t>YP (parallel shaft)</t>
        </is>
      </c>
      <c r="L131" s="12" t="inlineStr">
        <is>
          <t>YPP 72-TL  i=19.89  + IEC 112 B5</t>
        </is>
      </c>
      <c r="M131" s="13" t="inlineStr">
        <is>
          <t>YPM 72 / 112 M 4a -TL</t>
        </is>
      </c>
      <c r="N131" s="11" t="n">
        <v>19.89</v>
      </c>
      <c r="O131" s="11" t="n">
        <v>70</v>
      </c>
      <c r="P131" s="11" t="n">
        <v>526</v>
      </c>
      <c r="Q131" s="13" t="inlineStr">
        <is>
          <t>Sf 1.57</t>
        </is>
      </c>
      <c r="R131" s="13" t="inlineStr">
        <is>
          <t>Gearmotor table, 4-pole motor, n1≈1400 rpm</t>
        </is>
      </c>
      <c r="S131" s="13" t="inlineStr">
        <is>
          <t>Hollow shaft, keyed</t>
        </is>
      </c>
      <c r="T131" s="13" t="inlineStr">
        <is>
          <t>IEC 112 B5 (motor 112 M 4a)</t>
        </is>
      </c>
      <c r="U131" s="13" t="inlineStr">
        <is>
          <t>TL torque arm (include); SDL shrink disc option; H retaining washer; OC output cover</t>
        </is>
      </c>
      <c r="V131" s="13" t="inlineStr">
        <is>
          <t>YP 2025: ratings p.77; dims p.147-148</t>
        </is>
      </c>
      <c r="W131" s="13" t="inlineStr">
        <is>
          <t>Smallest housing with Sf ≥ 1.5 at 4 kW / 1400 rpm. Ratio deviation -0.5% vs 1:20. Larger alternatives: 82 (i=20.69, Sf=2.3).</t>
        </is>
      </c>
      <c r="X131" s="14" t="inlineStr">
        <is>
          <t>YPP 72 – IEC 112 B5 / B14</t>
        </is>
      </c>
      <c r="Y131" s="15" t="inlineStr">
        <is>
          <t>p.45 (YPP series) + p.44 (YP options)</t>
        </is>
      </c>
      <c r="Z131" s="15" t="inlineStr">
        <is>
          <t>YES</t>
        </is>
      </c>
      <c r="AA131" s="15" t="inlineStr">
        <is>
          <t>YPP gear unit with IEC input flange, hollow output shaft</t>
        </is>
      </c>
      <c r="AB131" s="16" t="n">
        <v>589</v>
      </c>
      <c r="AC131" s="17">
        <f>$J131*AB131</f>
        <v/>
      </c>
      <c r="AD131" s="18">
        <f>ROUND(AB131*(1-$L$2),2)</f>
        <v/>
      </c>
      <c r="AE131" s="18">
        <f>$J131*AD131</f>
        <v/>
      </c>
      <c r="AF131" s="17" t="n"/>
      <c r="AG131" s="17" t="n"/>
      <c r="AH131" s="17" t="n"/>
      <c r="AI131" s="17" t="n"/>
      <c r="AJ131" s="17" t="n"/>
      <c r="AK131" s="17" t="n"/>
      <c r="AL131" s="19" t="n">
        <v>103</v>
      </c>
      <c r="AM131" s="20">
        <f>ROUND(AL131*(1-$L$2),2)</f>
        <v/>
      </c>
      <c r="AN131" s="17" t="n"/>
      <c r="AO131" s="17" t="n"/>
      <c r="AP131" s="17">
        <f>SUM(AF131,AH131,AJ131,AL131,AN131)</f>
        <v/>
      </c>
      <c r="AQ131" s="17">
        <f>SUM(AG131,AI131,AK131,AM131,AO131)</f>
        <v/>
      </c>
      <c r="AR131" s="17">
        <f>$J131*AP131</f>
        <v/>
      </c>
      <c r="AS131" s="17">
        <f>$J131*AQ131</f>
        <v/>
      </c>
      <c r="AT131" s="17">
        <f>AB131+AP131</f>
        <v/>
      </c>
      <c r="AU131" s="18">
        <f>AD131+AQ131</f>
        <v/>
      </c>
      <c r="AV131" s="17">
        <f>$J131*AT131</f>
        <v/>
      </c>
      <c r="AW131" s="18">
        <f>$J131*AU131</f>
        <v/>
      </c>
      <c r="AX131" s="23" t="inlineStr">
        <is>
          <t>YP torque arm not in price list – ask İ.Mak</t>
        </is>
      </c>
      <c r="AY131" s="22" t="n"/>
    </row>
    <row r="132">
      <c r="A132" s="10" t="inlineStr">
        <is>
          <t>GB-128</t>
        </is>
      </c>
      <c r="B132" s="10" t="inlineStr">
        <is>
          <t>Parallel Shaft</t>
        </is>
      </c>
      <c r="C132" s="10" t="inlineStr">
        <is>
          <t>F / Equivalent</t>
        </is>
      </c>
      <c r="D132" s="10" t="inlineStr">
        <is>
          <t>Supplier selection</t>
        </is>
      </c>
      <c r="E132" s="10" t="n">
        <v>4</v>
      </c>
      <c r="F132" s="10" t="inlineStr">
        <is>
          <t>1:30</t>
        </is>
      </c>
      <c r="G132" s="10" t="inlineStr">
        <is>
          <t>Torque-arm / universal</t>
        </is>
      </c>
      <c r="H132" s="10" t="inlineStr">
        <is>
          <t>Hollow shaft, keyed</t>
        </is>
      </c>
      <c r="I132" s="10" t="inlineStr">
        <is>
          <t>IEC motor adaptor/input</t>
        </is>
      </c>
      <c r="J132" s="10" t="n">
        <v>1</v>
      </c>
      <c r="K132" s="11" t="inlineStr">
        <is>
          <t>YP (parallel shaft)</t>
        </is>
      </c>
      <c r="L132" s="12" t="inlineStr">
        <is>
          <t>YPP 83-TL  i=30.34  + IEC 112 B5</t>
        </is>
      </c>
      <c r="M132" s="13" t="inlineStr">
        <is>
          <t>YPM 83 / 112 M 4a -TL</t>
        </is>
      </c>
      <c r="N132" s="11" t="n">
        <v>30.34</v>
      </c>
      <c r="O132" s="11" t="n">
        <v>46</v>
      </c>
      <c r="P132" s="11" t="n">
        <v>791</v>
      </c>
      <c r="Q132" s="13" t="inlineStr">
        <is>
          <t>Sf 1.95</t>
        </is>
      </c>
      <c r="R132" s="13" t="inlineStr">
        <is>
          <t>Gearmotor table, 4-pole motor, n1≈1400 rpm</t>
        </is>
      </c>
      <c r="S132" s="13" t="inlineStr">
        <is>
          <t>Hollow shaft, keyed</t>
        </is>
      </c>
      <c r="T132" s="13" t="inlineStr">
        <is>
          <t>IEC 112 B5 (motor 112 M 4a)</t>
        </is>
      </c>
      <c r="U132" s="13" t="inlineStr">
        <is>
          <t>TL torque arm (include); SDL shrink disc option; H retaining washer; OC output cover</t>
        </is>
      </c>
      <c r="V132" s="13" t="inlineStr">
        <is>
          <t>YP 2025: ratings p.77; dims p.153-154</t>
        </is>
      </c>
      <c r="W132" s="13" t="inlineStr">
        <is>
          <t>Smallest housing with Sf ≥ 1.5 at 4 kW / 1400 rpm. Ratio deviation +1.1% vs 1:30. Larger alternatives: 92 (i=28.84, Sf=3.3).</t>
        </is>
      </c>
      <c r="X132" s="14" t="inlineStr">
        <is>
          <t>YPP 83 – IEC 112 B5 / B14</t>
        </is>
      </c>
      <c r="Y132" s="15" t="inlineStr">
        <is>
          <t>p.46 (YPP series) + p.44 (YP options)</t>
        </is>
      </c>
      <c r="Z132" s="15" t="inlineStr">
        <is>
          <t>YES</t>
        </is>
      </c>
      <c r="AA132" s="15" t="inlineStr">
        <is>
          <t>YPP gear unit with IEC input flange, hollow output shaft</t>
        </is>
      </c>
      <c r="AB132" s="16" t="n">
        <v>919</v>
      </c>
      <c r="AC132" s="17">
        <f>$J132*AB132</f>
        <v/>
      </c>
      <c r="AD132" s="18">
        <f>ROUND(AB132*(1-$L$2),2)</f>
        <v/>
      </c>
      <c r="AE132" s="18">
        <f>$J132*AD132</f>
        <v/>
      </c>
      <c r="AF132" s="17" t="n"/>
      <c r="AG132" s="17" t="n"/>
      <c r="AH132" s="17" t="n"/>
      <c r="AI132" s="17" t="n"/>
      <c r="AJ132" s="17" t="n"/>
      <c r="AK132" s="17" t="n"/>
      <c r="AL132" s="19" t="n">
        <v>162</v>
      </c>
      <c r="AM132" s="20">
        <f>ROUND(AL132*(1-$L$2),2)</f>
        <v/>
      </c>
      <c r="AN132" s="17" t="n"/>
      <c r="AO132" s="17" t="n"/>
      <c r="AP132" s="17">
        <f>SUM(AF132,AH132,AJ132,AL132,AN132)</f>
        <v/>
      </c>
      <c r="AQ132" s="17">
        <f>SUM(AG132,AI132,AK132,AM132,AO132)</f>
        <v/>
      </c>
      <c r="AR132" s="17">
        <f>$J132*AP132</f>
        <v/>
      </c>
      <c r="AS132" s="17">
        <f>$J132*AQ132</f>
        <v/>
      </c>
      <c r="AT132" s="17">
        <f>AB132+AP132</f>
        <v/>
      </c>
      <c r="AU132" s="18">
        <f>AD132+AQ132</f>
        <v/>
      </c>
      <c r="AV132" s="17">
        <f>$J132*AT132</f>
        <v/>
      </c>
      <c r="AW132" s="18">
        <f>$J132*AU132</f>
        <v/>
      </c>
      <c r="AX132" s="23" t="inlineStr">
        <is>
          <t>YP torque arm not in price list – ask İ.Mak</t>
        </is>
      </c>
      <c r="AY132" s="22" t="n"/>
    </row>
    <row r="133">
      <c r="A133" s="10" t="inlineStr">
        <is>
          <t>GB-129</t>
        </is>
      </c>
      <c r="B133" s="10" t="inlineStr">
        <is>
          <t>Parallel Shaft</t>
        </is>
      </c>
      <c r="C133" s="10" t="inlineStr">
        <is>
          <t>F / Equivalent</t>
        </is>
      </c>
      <c r="D133" s="10" t="inlineStr">
        <is>
          <t>Supplier selection</t>
        </is>
      </c>
      <c r="E133" s="10" t="n">
        <v>5.5</v>
      </c>
      <c r="F133" s="10" t="inlineStr">
        <is>
          <t>1:20</t>
        </is>
      </c>
      <c r="G133" s="10" t="inlineStr">
        <is>
          <t>Torque-arm / universal</t>
        </is>
      </c>
      <c r="H133" s="10" t="inlineStr">
        <is>
          <t>Hollow shaft, keyed</t>
        </is>
      </c>
      <c r="I133" s="10" t="inlineStr">
        <is>
          <t>IEC motor adaptor/input</t>
        </is>
      </c>
      <c r="J133" s="10" t="n">
        <v>1</v>
      </c>
      <c r="K133" s="11" t="inlineStr">
        <is>
          <t>YP (parallel shaft)</t>
        </is>
      </c>
      <c r="L133" s="12" t="inlineStr">
        <is>
          <t>YPP 82-TL  i=20.69  + IEC 132 B5</t>
        </is>
      </c>
      <c r="M133" s="13" t="inlineStr">
        <is>
          <t>YPM 82 / 132 S 4a -TL</t>
        </is>
      </c>
      <c r="N133" s="11" t="n">
        <v>20.69</v>
      </c>
      <c r="O133" s="11" t="n">
        <v>68</v>
      </c>
      <c r="P133" s="11" t="n">
        <v>753</v>
      </c>
      <c r="Q133" s="13" t="inlineStr">
        <is>
          <t>Sf 1.69</t>
        </is>
      </c>
      <c r="R133" s="13" t="inlineStr">
        <is>
          <t>Gearmotor table, 4-pole motor, n1≈1400 rpm</t>
        </is>
      </c>
      <c r="S133" s="13" t="inlineStr">
        <is>
          <t>Hollow shaft, keyed</t>
        </is>
      </c>
      <c r="T133" s="13" t="inlineStr">
        <is>
          <t>IEC 132 B5 (motor 132 S 4a)</t>
        </is>
      </c>
      <c r="U133" s="13" t="inlineStr">
        <is>
          <t>TL torque arm (include); SDL shrink disc option; H retaining washer; OC output cover</t>
        </is>
      </c>
      <c r="V133" s="13" t="inlineStr">
        <is>
          <t>YP 2025: ratings p.79; dims p.153-154</t>
        </is>
      </c>
      <c r="W133" s="13" t="inlineStr">
        <is>
          <t>Smallest housing with Sf ≥ 1.5 at 5.5 kW / 1400 rpm. Ratio deviation +3.5% vs 1:20.</t>
        </is>
      </c>
      <c r="X133" s="14" t="inlineStr">
        <is>
          <t>YPP 82 – IEC 132 B5 / B14</t>
        </is>
      </c>
      <c r="Y133" s="15" t="inlineStr">
        <is>
          <t>p.46 (YPP series) + p.44 (YP options)</t>
        </is>
      </c>
      <c r="Z133" s="15" t="inlineStr">
        <is>
          <t>YES</t>
        </is>
      </c>
      <c r="AA133" s="15" t="inlineStr">
        <is>
          <t>YPP gear unit with IEC input flange, hollow output shaft</t>
        </is>
      </c>
      <c r="AB133" s="16" t="n">
        <v>904</v>
      </c>
      <c r="AC133" s="17">
        <f>$J133*AB133</f>
        <v/>
      </c>
      <c r="AD133" s="18">
        <f>ROUND(AB133*(1-$L$2),2)</f>
        <v/>
      </c>
      <c r="AE133" s="18">
        <f>$J133*AD133</f>
        <v/>
      </c>
      <c r="AF133" s="17" t="n"/>
      <c r="AG133" s="17" t="n"/>
      <c r="AH133" s="17" t="n"/>
      <c r="AI133" s="17" t="n"/>
      <c r="AJ133" s="17" t="n"/>
      <c r="AK133" s="17" t="n"/>
      <c r="AL133" s="19" t="n">
        <v>162</v>
      </c>
      <c r="AM133" s="20">
        <f>ROUND(AL133*(1-$L$2),2)</f>
        <v/>
      </c>
      <c r="AN133" s="17" t="n"/>
      <c r="AO133" s="17" t="n"/>
      <c r="AP133" s="17">
        <f>SUM(AF133,AH133,AJ133,AL133,AN133)</f>
        <v/>
      </c>
      <c r="AQ133" s="17">
        <f>SUM(AG133,AI133,AK133,AM133,AO133)</f>
        <v/>
      </c>
      <c r="AR133" s="17">
        <f>$J133*AP133</f>
        <v/>
      </c>
      <c r="AS133" s="17">
        <f>$J133*AQ133</f>
        <v/>
      </c>
      <c r="AT133" s="17">
        <f>AB133+AP133</f>
        <v/>
      </c>
      <c r="AU133" s="18">
        <f>AD133+AQ133</f>
        <v/>
      </c>
      <c r="AV133" s="17">
        <f>$J133*AT133</f>
        <v/>
      </c>
      <c r="AW133" s="18">
        <f>$J133*AU133</f>
        <v/>
      </c>
      <c r="AX133" s="23" t="inlineStr">
        <is>
          <t>YP torque arm not in price list – ask İ.Mak</t>
        </is>
      </c>
      <c r="AY133" s="22" t="n"/>
    </row>
    <row r="134">
      <c r="A134" s="10" t="inlineStr">
        <is>
          <t>GB-130</t>
        </is>
      </c>
      <c r="B134" s="10" t="inlineStr">
        <is>
          <t>Parallel Shaft</t>
        </is>
      </c>
      <c r="C134" s="10" t="inlineStr">
        <is>
          <t>F / Equivalent</t>
        </is>
      </c>
      <c r="D134" s="10" t="inlineStr">
        <is>
          <t>Supplier selection</t>
        </is>
      </c>
      <c r="E134" s="10" t="n">
        <v>5.5</v>
      </c>
      <c r="F134" s="10" t="inlineStr">
        <is>
          <t>1:40</t>
        </is>
      </c>
      <c r="G134" s="10" t="inlineStr">
        <is>
          <t>Torque-arm / universal</t>
        </is>
      </c>
      <c r="H134" s="10" t="inlineStr">
        <is>
          <t>Hollow shaft, keyed</t>
        </is>
      </c>
      <c r="I134" s="10" t="inlineStr">
        <is>
          <t>IEC motor adaptor/input</t>
        </is>
      </c>
      <c r="J134" s="10" t="n">
        <v>1</v>
      </c>
      <c r="K134" s="11" t="inlineStr">
        <is>
          <t>YP (parallel shaft)</t>
        </is>
      </c>
      <c r="L134" s="12" t="inlineStr">
        <is>
          <t>YPP 93-TL  i=40.62  + IEC 132 B5</t>
        </is>
      </c>
      <c r="M134" s="13" t="inlineStr">
        <is>
          <t>YPM 93 / 132 S 4a -TL</t>
        </is>
      </c>
      <c r="N134" s="11" t="n">
        <v>40.62</v>
      </c>
      <c r="O134" s="11" t="n">
        <v>34</v>
      </c>
      <c r="P134" s="11" t="n">
        <v>1456</v>
      </c>
      <c r="Q134" s="13" t="inlineStr">
        <is>
          <t>Sf 1.92</t>
        </is>
      </c>
      <c r="R134" s="13" t="inlineStr">
        <is>
          <t>Gearmotor table, 4-pole motor, n1≈1400 rpm</t>
        </is>
      </c>
      <c r="S134" s="13" t="inlineStr">
        <is>
          <t>Hollow shaft, keyed</t>
        </is>
      </c>
      <c r="T134" s="13" t="inlineStr">
        <is>
          <t>IEC 132 B5 (motor 132 S 4a)</t>
        </is>
      </c>
      <c r="U134" s="13" t="inlineStr">
        <is>
          <t>TL torque arm (include); SDL shrink disc option; H retaining washer; OC output cover</t>
        </is>
      </c>
      <c r="V134" s="13" t="inlineStr">
        <is>
          <t>YP 2025: ratings p.79; dims p.159-160</t>
        </is>
      </c>
      <c r="W134" s="13" t="inlineStr">
        <is>
          <t>Smallest housing with Sf ≥ 1.5 at 5.5 kW / 1400 rpm. Ratio deviation +1.5% vs 1:40.</t>
        </is>
      </c>
      <c r="X134" s="14" t="inlineStr">
        <is>
          <t>YPP 93 – IEC 132 B5 / B14</t>
        </is>
      </c>
      <c r="Y134" s="15" t="inlineStr">
        <is>
          <t>p.46 (YPP series) + p.44 (YP options)</t>
        </is>
      </c>
      <c r="Z134" s="15" t="inlineStr">
        <is>
          <t>YES</t>
        </is>
      </c>
      <c r="AA134" s="15" t="inlineStr">
        <is>
          <t>YPP gear unit with IEC input flange, hollow output shaft</t>
        </is>
      </c>
      <c r="AB134" s="16" t="n">
        <v>1375</v>
      </c>
      <c r="AC134" s="17">
        <f>$J134*AB134</f>
        <v/>
      </c>
      <c r="AD134" s="18">
        <f>ROUND(AB134*(1-$L$2),2)</f>
        <v/>
      </c>
      <c r="AE134" s="18">
        <f>$J134*AD134</f>
        <v/>
      </c>
      <c r="AF134" s="17" t="n"/>
      <c r="AG134" s="17" t="n"/>
      <c r="AH134" s="17" t="n"/>
      <c r="AI134" s="17" t="n"/>
      <c r="AJ134" s="17" t="n"/>
      <c r="AK134" s="17" t="n"/>
      <c r="AL134" s="19" t="n">
        <v>213</v>
      </c>
      <c r="AM134" s="20">
        <f>ROUND(AL134*(1-$L$2),2)</f>
        <v/>
      </c>
      <c r="AN134" s="17" t="n"/>
      <c r="AO134" s="17" t="n"/>
      <c r="AP134" s="17">
        <f>SUM(AF134,AH134,AJ134,AL134,AN134)</f>
        <v/>
      </c>
      <c r="AQ134" s="17">
        <f>SUM(AG134,AI134,AK134,AM134,AO134)</f>
        <v/>
      </c>
      <c r="AR134" s="17">
        <f>$J134*AP134</f>
        <v/>
      </c>
      <c r="AS134" s="17">
        <f>$J134*AQ134</f>
        <v/>
      </c>
      <c r="AT134" s="17">
        <f>AB134+AP134</f>
        <v/>
      </c>
      <c r="AU134" s="18">
        <f>AD134+AQ134</f>
        <v/>
      </c>
      <c r="AV134" s="17">
        <f>$J134*AT134</f>
        <v/>
      </c>
      <c r="AW134" s="18">
        <f>$J134*AU134</f>
        <v/>
      </c>
      <c r="AX134" s="23" t="inlineStr">
        <is>
          <t>YP torque arm not in price list – ask İ.Mak</t>
        </is>
      </c>
      <c r="AY134" s="22" t="n"/>
    </row>
    <row r="135">
      <c r="A135" s="10" t="inlineStr">
        <is>
          <t>GB-131</t>
        </is>
      </c>
      <c r="B135" s="10" t="inlineStr">
        <is>
          <t>Parallel Shaft</t>
        </is>
      </c>
      <c r="C135" s="10" t="inlineStr">
        <is>
          <t>F / Equivalent</t>
        </is>
      </c>
      <c r="D135" s="10" t="inlineStr">
        <is>
          <t>Supplier selection</t>
        </is>
      </c>
      <c r="E135" s="10" t="n">
        <v>7.5</v>
      </c>
      <c r="F135" s="10" t="inlineStr">
        <is>
          <t>1:25</t>
        </is>
      </c>
      <c r="G135" s="10" t="inlineStr">
        <is>
          <t>B3 foot</t>
        </is>
      </c>
      <c r="H135" s="10" t="inlineStr">
        <is>
          <t>Solid output shaft</t>
        </is>
      </c>
      <c r="I135" s="10" t="inlineStr">
        <is>
          <t>IEC motor adaptor/input</t>
        </is>
      </c>
      <c r="J135" s="10" t="n">
        <v>1</v>
      </c>
      <c r="K135" s="11" t="inlineStr">
        <is>
          <t>YP (parallel shaft)</t>
        </is>
      </c>
      <c r="L135" s="12" t="inlineStr">
        <is>
          <t>YPP 92-SL  i=26.19  + IEC 132 B5 (foot mounted)</t>
        </is>
      </c>
      <c r="M135" s="13" t="inlineStr">
        <is>
          <t>YPM 92 / 132 M 4a -SL (foot mounted)</t>
        </is>
      </c>
      <c r="N135" s="11" t="n">
        <v>26.19</v>
      </c>
      <c r="O135" s="11" t="n">
        <v>53</v>
      </c>
      <c r="P135" s="11" t="n">
        <v>1300</v>
      </c>
      <c r="Q135" s="13" t="inlineStr">
        <is>
          <t>Sf 2.1</t>
        </is>
      </c>
      <c r="R135" s="13" t="inlineStr">
        <is>
          <t>Gearmotor table, 4-pole motor, n1≈1400 rpm</t>
        </is>
      </c>
      <c r="S135" s="13" t="inlineStr">
        <is>
          <t>Solid output shaft (SL), foot mounted</t>
        </is>
      </c>
      <c r="T135" s="13" t="inlineStr">
        <is>
          <t>IEC 132 B5 (motor 132 M 4a)</t>
        </is>
      </c>
      <c r="U135" s="13" t="inlineStr">
        <is>
          <t>Output flange option: YP…-FL-SL</t>
        </is>
      </c>
      <c r="V135" s="13" t="inlineStr">
        <is>
          <t>YP 2025: ratings p.82; dims p.159-160</t>
        </is>
      </c>
      <c r="W135" s="13" t="inlineStr">
        <is>
          <t>Smallest housing with Sf ≥ 1.5 at 7.5 kW / 1400 rpm. Ratio deviation +4.8% vs 1:25. Larger alternatives: 102 (i=24.31, Sf=3.6); 103 (i=24.18, Sf=3.4).</t>
        </is>
      </c>
      <c r="X135" s="14" t="inlineStr">
        <is>
          <t>YPP 92 – IEC 132 B5 / B14 + output shaft (foot)</t>
        </is>
      </c>
      <c r="Y135" s="15" t="inlineStr">
        <is>
          <t>p.46 (YPP series) + p.44 (YP options)</t>
        </is>
      </c>
      <c r="Z135" s="15" t="inlineStr">
        <is>
          <t>YES</t>
        </is>
      </c>
      <c r="AA135" s="15" t="inlineStr">
        <is>
          <t>YPP gear unit €1,294.00 + output shaft €68.00</t>
        </is>
      </c>
      <c r="AB135" s="16" t="n">
        <v>1362</v>
      </c>
      <c r="AC135" s="17">
        <f>$J135*AB135</f>
        <v/>
      </c>
      <c r="AD135" s="18">
        <f>ROUND(AB135*(1-$L$2),2)</f>
        <v/>
      </c>
      <c r="AE135" s="18">
        <f>$J135*AD135</f>
        <v/>
      </c>
      <c r="AF135" s="19" t="n">
        <v>62</v>
      </c>
      <c r="AG135" s="20">
        <f>ROUND(AF135*(1-$L$2),2)</f>
        <v/>
      </c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>
        <f>SUM(AF135,AH135,AJ135,AL135,AN135)</f>
        <v/>
      </c>
      <c r="AQ135" s="17">
        <f>SUM(AG135,AI135,AK135,AM135,AO135)</f>
        <v/>
      </c>
      <c r="AR135" s="17">
        <f>$J135*AP135</f>
        <v/>
      </c>
      <c r="AS135" s="17">
        <f>$J135*AQ135</f>
        <v/>
      </c>
      <c r="AT135" s="17">
        <f>AB135+AP135</f>
        <v/>
      </c>
      <c r="AU135" s="18">
        <f>AD135+AQ135</f>
        <v/>
      </c>
      <c r="AV135" s="17">
        <f>$J135*AT135</f>
        <v/>
      </c>
      <c r="AW135" s="18">
        <f>$J135*AU135</f>
        <v/>
      </c>
      <c r="AX135" s="21" t="inlineStr">
        <is>
          <t>Output flange on IRK/YP/İRS lines = extra cost of the flange-mounted version.</t>
        </is>
      </c>
      <c r="AY135" s="22" t="n"/>
    </row>
    <row r="136">
      <c r="A136" s="10" t="inlineStr">
        <is>
          <t>GB-132</t>
        </is>
      </c>
      <c r="B136" s="10" t="inlineStr">
        <is>
          <t>Parallel Shaft</t>
        </is>
      </c>
      <c r="C136" s="10" t="inlineStr">
        <is>
          <t>F / Equivalent</t>
        </is>
      </c>
      <c r="D136" s="10" t="inlineStr">
        <is>
          <t>Supplier selection</t>
        </is>
      </c>
      <c r="E136" s="10" t="n">
        <v>11</v>
      </c>
      <c r="F136" s="10" t="inlineStr">
        <is>
          <t>1:30</t>
        </is>
      </c>
      <c r="G136" s="10" t="inlineStr">
        <is>
          <t>B3 foot</t>
        </is>
      </c>
      <c r="H136" s="10" t="inlineStr">
        <is>
          <t>Solid output shaft</t>
        </is>
      </c>
      <c r="I136" s="10" t="inlineStr">
        <is>
          <t>IEC motor adaptor/input</t>
        </is>
      </c>
      <c r="J136" s="10" t="n">
        <v>1</v>
      </c>
      <c r="K136" s="11" t="inlineStr">
        <is>
          <t>YP (parallel shaft)</t>
        </is>
      </c>
      <c r="L136" s="12" t="inlineStr">
        <is>
          <t>YPP 103-SL  i=28.84  + IEC 160 B5 (foot mounted)</t>
        </is>
      </c>
      <c r="M136" s="13" t="inlineStr">
        <is>
          <t>YPM 103 / 160 M 4a -SL (foot mounted)</t>
        </is>
      </c>
      <c r="N136" s="11" t="n">
        <v>28.84</v>
      </c>
      <c r="O136" s="11" t="n">
        <v>49</v>
      </c>
      <c r="P136" s="11" t="n">
        <v>2068</v>
      </c>
      <c r="Q136" s="13" t="inlineStr">
        <is>
          <t>Sf 1.94</t>
        </is>
      </c>
      <c r="R136" s="13" t="inlineStr">
        <is>
          <t>Gearmotor table, 4-pole motor, n1≈1400 rpm</t>
        </is>
      </c>
      <c r="S136" s="13" t="inlineStr">
        <is>
          <t>Solid output shaft (SL), foot mounted</t>
        </is>
      </c>
      <c r="T136" s="13" t="inlineStr">
        <is>
          <t>IEC 160 B5 (motor 160 M 4a)</t>
        </is>
      </c>
      <c r="U136" s="13" t="inlineStr">
        <is>
          <t>Output flange option: YP…-FL-SL</t>
        </is>
      </c>
      <c r="V136" s="13" t="inlineStr">
        <is>
          <t>YP 2025: ratings p.84; dims p.165-166</t>
        </is>
      </c>
      <c r="W136" s="13" t="inlineStr">
        <is>
          <t>Smallest housing with Sf ≥ 1.5 at 11 kW / 1400 rpm. Ratio deviation -3.9% vs 1:30. Larger alternatives: 122 (i=29.5, Sf=3.3); 123 (i=29.92, Sf=3.4).</t>
        </is>
      </c>
      <c r="X136" s="14" t="inlineStr">
        <is>
          <t>YPP 103 – IEC 160 B5 / B14 + output shaft (foot)</t>
        </is>
      </c>
      <c r="Y136" s="15" t="inlineStr">
        <is>
          <t>p.47 (YPP series) + p.44 (YP options)</t>
        </is>
      </c>
      <c r="Z136" s="15" t="inlineStr">
        <is>
          <t>YES</t>
        </is>
      </c>
      <c r="AA136" s="15" t="inlineStr">
        <is>
          <t>YPP gear unit €2,125.00 + output shaft €75.00</t>
        </is>
      </c>
      <c r="AB136" s="16" t="n">
        <v>2200</v>
      </c>
      <c r="AC136" s="17">
        <f>$J136*AB136</f>
        <v/>
      </c>
      <c r="AD136" s="18">
        <f>ROUND(AB136*(1-$L$2),2)</f>
        <v/>
      </c>
      <c r="AE136" s="18">
        <f>$J136*AD136</f>
        <v/>
      </c>
      <c r="AF136" s="19" t="n">
        <v>115</v>
      </c>
      <c r="AG136" s="20">
        <f>ROUND(AF136*(1-$L$2),2)</f>
        <v/>
      </c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>
        <f>SUM(AF136,AH136,AJ136,AL136,AN136)</f>
        <v/>
      </c>
      <c r="AQ136" s="17">
        <f>SUM(AG136,AI136,AK136,AM136,AO136)</f>
        <v/>
      </c>
      <c r="AR136" s="17">
        <f>$J136*AP136</f>
        <v/>
      </c>
      <c r="AS136" s="17">
        <f>$J136*AQ136</f>
        <v/>
      </c>
      <c r="AT136" s="17">
        <f>AB136+AP136</f>
        <v/>
      </c>
      <c r="AU136" s="18">
        <f>AD136+AQ136</f>
        <v/>
      </c>
      <c r="AV136" s="17">
        <f>$J136*AT136</f>
        <v/>
      </c>
      <c r="AW136" s="18">
        <f>$J136*AU136</f>
        <v/>
      </c>
      <c r="AX136" s="21" t="inlineStr">
        <is>
          <t>Output flange on IRK/YP/İRS lines = extra cost of the flange-mounted version.</t>
        </is>
      </c>
      <c r="AY136" s="22" t="n"/>
    </row>
    <row r="137">
      <c r="A137" s="10" t="inlineStr">
        <is>
          <t>GB-133</t>
        </is>
      </c>
      <c r="B137" s="10" t="inlineStr">
        <is>
          <t>Parallel Shaft</t>
        </is>
      </c>
      <c r="C137" s="10" t="inlineStr">
        <is>
          <t>F / Equivalent</t>
        </is>
      </c>
      <c r="D137" s="10" t="inlineStr">
        <is>
          <t>Supplier selection</t>
        </is>
      </c>
      <c r="E137" s="10" t="n">
        <v>15</v>
      </c>
      <c r="F137" s="10" t="inlineStr">
        <is>
          <t>1:40</t>
        </is>
      </c>
      <c r="G137" s="10" t="inlineStr">
        <is>
          <t>B3 foot</t>
        </is>
      </c>
      <c r="H137" s="10" t="inlineStr">
        <is>
          <t>Solid output shaft</t>
        </is>
      </c>
      <c r="I137" s="10" t="inlineStr">
        <is>
          <t>IEC motor adaptor/input</t>
        </is>
      </c>
      <c r="J137" s="10" t="n">
        <v>1</v>
      </c>
      <c r="K137" s="11" t="inlineStr">
        <is>
          <t>YP (parallel shaft)</t>
        </is>
      </c>
      <c r="L137" s="12" t="inlineStr">
        <is>
          <t>YPP 123-SL  i=40.73  + IEC 160 B5 (foot mounted)</t>
        </is>
      </c>
      <c r="M137" s="13" t="inlineStr">
        <is>
          <t>YPM 123 / 160 L 4a -SL (foot mounted)</t>
        </is>
      </c>
      <c r="N137" s="11" t="n">
        <v>40.73</v>
      </c>
      <c r="O137" s="11" t="n">
        <v>34</v>
      </c>
      <c r="P137" s="11" t="n">
        <v>3982</v>
      </c>
      <c r="Q137" s="13" t="inlineStr">
        <is>
          <t>Sf 1.83</t>
        </is>
      </c>
      <c r="R137" s="13" t="inlineStr">
        <is>
          <t>Gearmotor table, 4-pole motor, n1≈1400 rpm</t>
        </is>
      </c>
      <c r="S137" s="13" t="inlineStr">
        <is>
          <t>Solid output shaft (SL), foot mounted</t>
        </is>
      </c>
      <c r="T137" s="13" t="inlineStr">
        <is>
          <t>IEC 160 B5 (motor 160 L 4a)</t>
        </is>
      </c>
      <c r="U137" s="13" t="inlineStr">
        <is>
          <t>Output flange option: YP…-FL-SL</t>
        </is>
      </c>
      <c r="V137" s="13" t="inlineStr">
        <is>
          <t>YP 2025: ratings p.85; dims p.171-172</t>
        </is>
      </c>
      <c r="W137" s="13" t="inlineStr">
        <is>
          <t>Smallest housing with Sf ≥ 1.5 at 15 kW / 1400 rpm. Ratio deviation +1.8% vs 1:40.</t>
        </is>
      </c>
      <c r="X137" s="14" t="inlineStr">
        <is>
          <t>YPP 123 – IEC 160 B5 / B14 + output shaft (foot)</t>
        </is>
      </c>
      <c r="Y137" s="15" t="inlineStr">
        <is>
          <t>p.47 (YPP series) + p.44 (YP options)</t>
        </is>
      </c>
      <c r="Z137" s="15" t="inlineStr">
        <is>
          <t>YES</t>
        </is>
      </c>
      <c r="AA137" s="15" t="inlineStr">
        <is>
          <t>YPP gear unit €2,869.00 + output shaft €128.00</t>
        </is>
      </c>
      <c r="AB137" s="16" t="n">
        <v>2997</v>
      </c>
      <c r="AC137" s="17">
        <f>$J137*AB137</f>
        <v/>
      </c>
      <c r="AD137" s="18">
        <f>ROUND(AB137*(1-$L$2),2)</f>
        <v/>
      </c>
      <c r="AE137" s="18">
        <f>$J137*AD137</f>
        <v/>
      </c>
      <c r="AF137" s="19" t="n">
        <v>174</v>
      </c>
      <c r="AG137" s="20">
        <f>ROUND(AF137*(1-$L$2),2)</f>
        <v/>
      </c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>
        <f>SUM(AF137,AH137,AJ137,AL137,AN137)</f>
        <v/>
      </c>
      <c r="AQ137" s="17">
        <f>SUM(AG137,AI137,AK137,AM137,AO137)</f>
        <v/>
      </c>
      <c r="AR137" s="17">
        <f>$J137*AP137</f>
        <v/>
      </c>
      <c r="AS137" s="17">
        <f>$J137*AQ137</f>
        <v/>
      </c>
      <c r="AT137" s="17">
        <f>AB137+AP137</f>
        <v/>
      </c>
      <c r="AU137" s="18">
        <f>AD137+AQ137</f>
        <v/>
      </c>
      <c r="AV137" s="17">
        <f>$J137*AT137</f>
        <v/>
      </c>
      <c r="AW137" s="18">
        <f>$J137*AU137</f>
        <v/>
      </c>
      <c r="AX137" s="21" t="inlineStr">
        <is>
          <t>Output flange on IRK/YP/İRS lines = extra cost of the flange-mounted version.</t>
        </is>
      </c>
      <c r="AY137" s="22" t="n"/>
    </row>
    <row r="138">
      <c r="A138" s="10" t="inlineStr">
        <is>
          <t>GB-134</t>
        </is>
      </c>
      <c r="B138" s="10" t="inlineStr">
        <is>
          <t>Parallel Shaft</t>
        </is>
      </c>
      <c r="C138" s="10" t="inlineStr">
        <is>
          <t>F / Equivalent</t>
        </is>
      </c>
      <c r="D138" s="10" t="inlineStr">
        <is>
          <t>Supplier selection</t>
        </is>
      </c>
      <c r="E138" s="10" t="n">
        <v>22</v>
      </c>
      <c r="F138" s="10" t="inlineStr">
        <is>
          <t>1:40</t>
        </is>
      </c>
      <c r="G138" s="10" t="inlineStr">
        <is>
          <t>B3 foot</t>
        </is>
      </c>
      <c r="H138" s="10" t="inlineStr">
        <is>
          <t>Solid output shaft</t>
        </is>
      </c>
      <c r="I138" s="10" t="inlineStr">
        <is>
          <t>IEC motor adaptor/input</t>
        </is>
      </c>
      <c r="J138" s="10" t="n">
        <v>1</v>
      </c>
      <c r="K138" s="11" t="inlineStr">
        <is>
          <t>YP (parallel shaft)</t>
        </is>
      </c>
      <c r="L138" s="12" t="inlineStr">
        <is>
          <t>YPP 143-SL  i=38.8  + IEC 180 B5 (foot mounted)</t>
        </is>
      </c>
      <c r="M138" s="13" t="inlineStr">
        <is>
          <t>YPM 143 / 180 L 4a -SL (foot mounted)</t>
        </is>
      </c>
      <c r="N138" s="11" t="n">
        <v>38.8</v>
      </c>
      <c r="O138" s="11" t="n">
        <v>36</v>
      </c>
      <c r="P138" s="11" t="n">
        <v>5565</v>
      </c>
      <c r="Q138" s="13" t="inlineStr">
        <is>
          <t>Sf 2.4</t>
        </is>
      </c>
      <c r="R138" s="13" t="inlineStr">
        <is>
          <t>Gearmotor table, 4-pole motor, n1≈1400 rpm</t>
        </is>
      </c>
      <c r="S138" s="13" t="inlineStr">
        <is>
          <t>Solid output shaft (SL), foot mounted</t>
        </is>
      </c>
      <c r="T138" s="13" t="inlineStr">
        <is>
          <t>IEC 180 B5 (motor 180 L 4a)</t>
        </is>
      </c>
      <c r="U138" s="13" t="inlineStr">
        <is>
          <t>Output flange option: YP…-FL-SL</t>
        </is>
      </c>
      <c r="V138" s="13" t="inlineStr">
        <is>
          <t>YP 2025: ratings p.88; dims p.177-178</t>
        </is>
      </c>
      <c r="W138" s="13" t="inlineStr">
        <is>
          <t>Smallest housing with Sf ≥ 1.5 at 22 kW / 1400 rpm. Ratio deviation -3.0% vs 1:40. Larger alternatives: 153 (i=41.03, Sf=3.2).</t>
        </is>
      </c>
      <c r="X138" s="14" t="inlineStr">
        <is>
          <t>YPP 143 – IEC 180 B5 + output shaft (foot)</t>
        </is>
      </c>
      <c r="Y138" s="15" t="inlineStr">
        <is>
          <t>p.48 (YPP series) + p.44 (YP options)</t>
        </is>
      </c>
      <c r="Z138" s="15" t="inlineStr">
        <is>
          <t>YES</t>
        </is>
      </c>
      <c r="AA138" s="15" t="inlineStr">
        <is>
          <t>YPP gear unit €4,628.00 + output shaft €202.00</t>
        </is>
      </c>
      <c r="AB138" s="16" t="n">
        <v>4830</v>
      </c>
      <c r="AC138" s="17">
        <f>$J138*AB138</f>
        <v/>
      </c>
      <c r="AD138" s="18">
        <f>ROUND(AB138*(1-$L$2),2)</f>
        <v/>
      </c>
      <c r="AE138" s="18">
        <f>$J138*AD138</f>
        <v/>
      </c>
      <c r="AF138" s="19" t="n">
        <v>275</v>
      </c>
      <c r="AG138" s="20">
        <f>ROUND(AF138*(1-$L$2),2)</f>
        <v/>
      </c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>
        <f>SUM(AF138,AH138,AJ138,AL138,AN138)</f>
        <v/>
      </c>
      <c r="AQ138" s="17">
        <f>SUM(AG138,AI138,AK138,AM138,AO138)</f>
        <v/>
      </c>
      <c r="AR138" s="17">
        <f>$J138*AP138</f>
        <v/>
      </c>
      <c r="AS138" s="17">
        <f>$J138*AQ138</f>
        <v/>
      </c>
      <c r="AT138" s="17">
        <f>AB138+AP138</f>
        <v/>
      </c>
      <c r="AU138" s="18">
        <f>AD138+AQ138</f>
        <v/>
      </c>
      <c r="AV138" s="17">
        <f>$J138*AT138</f>
        <v/>
      </c>
      <c r="AW138" s="18">
        <f>$J138*AU138</f>
        <v/>
      </c>
      <c r="AX138" s="21" t="inlineStr">
        <is>
          <t>Output flange on IRK/YP/İRS lines = extra cost of the flange-mounted version.</t>
        </is>
      </c>
      <c r="AY138" s="22" t="n"/>
    </row>
    <row r="139">
      <c r="A139" s="10" t="inlineStr">
        <is>
          <t>GB-135</t>
        </is>
      </c>
      <c r="B139" s="10" t="inlineStr">
        <is>
          <t>Parallel Shaft</t>
        </is>
      </c>
      <c r="C139" s="10" t="inlineStr">
        <is>
          <t>F / Equivalent</t>
        </is>
      </c>
      <c r="D139" s="10" t="inlineStr">
        <is>
          <t>Supplier selection</t>
        </is>
      </c>
      <c r="E139" s="10" t="n">
        <v>30</v>
      </c>
      <c r="F139" s="10" t="inlineStr">
        <is>
          <t>1:50</t>
        </is>
      </c>
      <c r="G139" s="10" t="inlineStr">
        <is>
          <t>B3 foot</t>
        </is>
      </c>
      <c r="H139" s="10" t="inlineStr">
        <is>
          <t>Solid output shaft</t>
        </is>
      </c>
      <c r="I139" s="10" t="inlineStr">
        <is>
          <t>IEC motor adaptor/input</t>
        </is>
      </c>
      <c r="J139" s="10" t="n">
        <v>1</v>
      </c>
      <c r="K139" s="11" t="inlineStr">
        <is>
          <t>YP (parallel shaft)</t>
        </is>
      </c>
      <c r="L139" s="12" t="inlineStr">
        <is>
          <t>YPP 153-SL  i=50.72  + IEC 200 B5 (foot mounted)</t>
        </is>
      </c>
      <c r="M139" s="13" t="inlineStr">
        <is>
          <t>YPM 153 / 200 L 4a -SL (foot mounted)</t>
        </is>
      </c>
      <c r="N139" s="11" t="n">
        <v>50.72</v>
      </c>
      <c r="O139" s="11" t="n">
        <v>28</v>
      </c>
      <c r="P139" s="11" t="n">
        <v>9919</v>
      </c>
      <c r="Q139" s="13" t="inlineStr">
        <is>
          <t>Sf 1.9</t>
        </is>
      </c>
      <c r="R139" s="13" t="inlineStr">
        <is>
          <t>Gearmotor table, 4-pole motor, n1≈1400 rpm</t>
        </is>
      </c>
      <c r="S139" s="13" t="inlineStr">
        <is>
          <t>Solid output shaft (SL), foot mounted</t>
        </is>
      </c>
      <c r="T139" s="13" t="inlineStr">
        <is>
          <t>IEC 200 B5 (motor 200 L 4a)</t>
        </is>
      </c>
      <c r="U139" s="13" t="inlineStr">
        <is>
          <t>Output flange option: YP…-FL-SL</t>
        </is>
      </c>
      <c r="V139" s="13" t="inlineStr">
        <is>
          <t>YP 2025: ratings p.89; dims p.185-186</t>
        </is>
      </c>
      <c r="W139" s="13" t="inlineStr">
        <is>
          <t>Smallest housing with Sf ≥ 1.5 at 30 kW / 1400 rpm. Ratio deviation +1.4% vs 1:50.</t>
        </is>
      </c>
      <c r="X139" s="14" t="inlineStr">
        <is>
          <t>YPP 153 – IEC 200 B5 + output shaft (foot)</t>
        </is>
      </c>
      <c r="Y139" s="15" t="inlineStr">
        <is>
          <t>p.48 (YPP series) + p.44 (YP options)</t>
        </is>
      </c>
      <c r="Z139" s="15" t="inlineStr">
        <is>
          <t>YES</t>
        </is>
      </c>
      <c r="AA139" s="15" t="inlineStr">
        <is>
          <t>YPP gear unit €6,828.00 + output shaft €255.00</t>
        </is>
      </c>
      <c r="AB139" s="16" t="n">
        <v>7083</v>
      </c>
      <c r="AC139" s="17">
        <f>$J139*AB139</f>
        <v/>
      </c>
      <c r="AD139" s="18">
        <f>ROUND(AB139*(1-$L$2),2)</f>
        <v/>
      </c>
      <c r="AE139" s="18">
        <f>$J139*AD139</f>
        <v/>
      </c>
      <c r="AF139" s="19" t="n">
        <v>370</v>
      </c>
      <c r="AG139" s="20">
        <f>ROUND(AF139*(1-$L$2),2)</f>
        <v/>
      </c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>
        <f>SUM(AF139,AH139,AJ139,AL139,AN139)</f>
        <v/>
      </c>
      <c r="AQ139" s="17">
        <f>SUM(AG139,AI139,AK139,AM139,AO139)</f>
        <v/>
      </c>
      <c r="AR139" s="17">
        <f>$J139*AP139</f>
        <v/>
      </c>
      <c r="AS139" s="17">
        <f>$J139*AQ139</f>
        <v/>
      </c>
      <c r="AT139" s="17">
        <f>AB139+AP139</f>
        <v/>
      </c>
      <c r="AU139" s="18">
        <f>AD139+AQ139</f>
        <v/>
      </c>
      <c r="AV139" s="17">
        <f>$J139*AT139</f>
        <v/>
      </c>
      <c r="AW139" s="18">
        <f>$J139*AU139</f>
        <v/>
      </c>
      <c r="AX139" s="21" t="inlineStr">
        <is>
          <t>Output flange on IRK/YP/İRS lines = extra cost of the flange-mounted version.</t>
        </is>
      </c>
      <c r="AY139" s="22" t="n"/>
    </row>
    <row r="140">
      <c r="A140" s="10" t="inlineStr">
        <is>
          <t>GB-136</t>
        </is>
      </c>
      <c r="B140" s="10" t="inlineStr">
        <is>
          <t>Shaft Mounted Reducer</t>
        </is>
      </c>
      <c r="C140" s="10" t="inlineStr">
        <is>
          <t>SMSR / Equivalent</t>
        </is>
      </c>
      <c r="D140" s="10" t="inlineStr">
        <is>
          <t>Supplier selection</t>
        </is>
      </c>
      <c r="E140" s="10" t="n">
        <v>2.2</v>
      </c>
      <c r="F140" s="10" t="inlineStr">
        <is>
          <t>1:5</t>
        </is>
      </c>
      <c r="G140" s="10" t="inlineStr">
        <is>
          <t>Torque-arm mounted</t>
        </is>
      </c>
      <c r="H140" s="10" t="inlineStr">
        <is>
          <t>Hollow shaft, keyed</t>
        </is>
      </c>
      <c r="I140" s="10" t="inlineStr">
        <is>
          <t>IEC motor adaptor/input</t>
        </is>
      </c>
      <c r="J140" s="10" t="n">
        <v>1</v>
      </c>
      <c r="K140" s="11" t="inlineStr">
        <is>
          <t>İRNX (shaft mounted)</t>
        </is>
      </c>
      <c r="L140" s="12" t="inlineStr">
        <is>
          <t>İRNX 01  i=5</t>
        </is>
      </c>
      <c r="M140" s="13" t="inlineStr">
        <is>
          <t>— (belt driven; motor, pulleys and belts supplied separately)</t>
        </is>
      </c>
      <c r="N140" s="11" t="n">
        <v>5</v>
      </c>
      <c r="O140" s="11" t="n">
        <v>261</v>
      </c>
      <c r="P140" s="11" t="n">
        <v>515</v>
      </c>
      <c r="Q140" s="13" t="inlineStr">
        <is>
          <t>9.9 kW max at fs 1.5</t>
        </is>
      </c>
      <c r="R140" s="13" t="inlineStr">
        <is>
          <t>IRNX table n1=1400 rpm, moderate load 16 h/day</t>
        </is>
      </c>
      <c r="S140" s="13" t="inlineStr">
        <is>
          <t>Hollow shaft, keyed (Ø30 on İRNX 01)</t>
        </is>
      </c>
      <c r="T140" s="13" t="inlineStr">
        <is>
          <t>Not available (input shaft + pulley)</t>
        </is>
      </c>
      <c r="U140" s="13" t="inlineStr">
        <is>
          <t>BSL backstop (CW/CCW 235/236); torque arm with rubber buffers; input shaft 131-136 variants; pulleys/belts quote separately</t>
        </is>
      </c>
      <c r="V140" s="13" t="inlineStr">
        <is>
          <t>IRNX 2024: ratings p.33; dims p.43</t>
        </is>
      </c>
      <c r="W140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0" s="14" t="inlineStr">
        <is>
          <t>İRNX 01</t>
        </is>
      </c>
      <c r="Y140" s="15" t="inlineStr">
        <is>
          <t>p.61 (IRNX series)</t>
        </is>
      </c>
      <c r="Z140" s="15" t="inlineStr">
        <is>
          <t>YES (no IEC version exists, input shaft only)</t>
        </is>
      </c>
      <c r="AA140" s="15" t="inlineStr">
        <is>
          <t>Shaft-mounted gear unit, hollow shaft, input shaft</t>
        </is>
      </c>
      <c r="AB140" s="16" t="n">
        <v>315</v>
      </c>
      <c r="AC140" s="17">
        <f>$J140*AB140</f>
        <v/>
      </c>
      <c r="AD140" s="18">
        <f>ROUND(AB140*(1-$L$2),2)</f>
        <v/>
      </c>
      <c r="AE140" s="18">
        <f>$J140*AD140</f>
        <v/>
      </c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>
        <f>SUM(AF140,AH140,AJ140,AL140,AN140)</f>
        <v/>
      </c>
      <c r="AQ140" s="17">
        <f>SUM(AG140,AI140,AK140,AM140,AO140)</f>
        <v/>
      </c>
      <c r="AR140" s="17">
        <f>$J140*AP140</f>
        <v/>
      </c>
      <c r="AS140" s="17">
        <f>$J140*AQ140</f>
        <v/>
      </c>
      <c r="AT140" s="17">
        <f>AB140+AP140</f>
        <v/>
      </c>
      <c r="AU140" s="18">
        <f>AD140+AQ140</f>
        <v/>
      </c>
      <c r="AV140" s="17">
        <f>$J140*AT140</f>
        <v/>
      </c>
      <c r="AW140" s="18">
        <f>$J140*AU140</f>
        <v/>
      </c>
      <c r="AX140" s="23" t="inlineStr">
        <is>
          <t>Backstop not available for İRNX 01; Torque arm, input pulley and belts not in price list – ask İ.Mak</t>
        </is>
      </c>
      <c r="AY140" s="22" t="n"/>
    </row>
    <row r="141">
      <c r="A141" s="10" t="inlineStr">
        <is>
          <t>GB-137</t>
        </is>
      </c>
      <c r="B141" s="10" t="inlineStr">
        <is>
          <t>Shaft Mounted Reducer</t>
        </is>
      </c>
      <c r="C141" s="10" t="inlineStr">
        <is>
          <t>SMSR / Equivalent</t>
        </is>
      </c>
      <c r="D141" s="10" t="inlineStr">
        <is>
          <t>Supplier selection</t>
        </is>
      </c>
      <c r="E141" s="10" t="n">
        <v>2.2</v>
      </c>
      <c r="F141" s="10" t="inlineStr">
        <is>
          <t>1:13</t>
        </is>
      </c>
      <c r="G141" s="10" t="inlineStr">
        <is>
          <t>Torque-arm mounted</t>
        </is>
      </c>
      <c r="H141" s="10" t="inlineStr">
        <is>
          <t>Hollow shaft, keyed</t>
        </is>
      </c>
      <c r="I141" s="10" t="inlineStr">
        <is>
          <t>IEC motor adaptor/input</t>
        </is>
      </c>
      <c r="J141" s="10" t="n">
        <v>1</v>
      </c>
      <c r="K141" s="11" t="inlineStr">
        <is>
          <t>İRNX (shaft mounted)</t>
        </is>
      </c>
      <c r="L141" s="12" t="inlineStr">
        <is>
          <t>İRNX 01  i=13</t>
        </is>
      </c>
      <c r="M141" s="13" t="inlineStr">
        <is>
          <t>— (belt driven; motor, pulleys and belts supplied separately)</t>
        </is>
      </c>
      <c r="N141" s="11" t="n">
        <v>13</v>
      </c>
      <c r="O141" s="11" t="n">
        <v>107</v>
      </c>
      <c r="P141" s="11" t="n">
        <v>515</v>
      </c>
      <c r="Q141" s="13" t="inlineStr">
        <is>
          <t>4.1 kW max at fs 1.5</t>
        </is>
      </c>
      <c r="R141" s="13" t="inlineStr">
        <is>
          <t>IRNX table n1=1400 rpm, moderate load 16 h/day</t>
        </is>
      </c>
      <c r="S141" s="13" t="inlineStr">
        <is>
          <t>Hollow shaft, keyed (Ø30 on İRNX 01)</t>
        </is>
      </c>
      <c r="T141" s="13" t="inlineStr">
        <is>
          <t>Not available (input shaft + pulley)</t>
        </is>
      </c>
      <c r="U141" s="13" t="inlineStr">
        <is>
          <t>BSL backstop (CW/CCW 235/236); torque arm with rubber buffers; input shaft 131-136 variants; pulleys/belts quote separately</t>
        </is>
      </c>
      <c r="V141" s="13" t="inlineStr">
        <is>
          <t>IRNX 2024: ratings p.33; dims p.43</t>
        </is>
      </c>
      <c r="W141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1" s="14" t="inlineStr">
        <is>
          <t>İRNX 01</t>
        </is>
      </c>
      <c r="Y141" s="15" t="inlineStr">
        <is>
          <t>p.61 (IRNX series)</t>
        </is>
      </c>
      <c r="Z141" s="15" t="inlineStr">
        <is>
          <t>YES (no IEC version exists, input shaft only)</t>
        </is>
      </c>
      <c r="AA141" s="15" t="inlineStr">
        <is>
          <t>Shaft-mounted gear unit, hollow shaft, input shaft</t>
        </is>
      </c>
      <c r="AB141" s="16" t="n">
        <v>315</v>
      </c>
      <c r="AC141" s="17">
        <f>$J141*AB141</f>
        <v/>
      </c>
      <c r="AD141" s="18">
        <f>ROUND(AB141*(1-$L$2),2)</f>
        <v/>
      </c>
      <c r="AE141" s="18">
        <f>$J141*AD141</f>
        <v/>
      </c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>
        <f>SUM(AF141,AH141,AJ141,AL141,AN141)</f>
        <v/>
      </c>
      <c r="AQ141" s="17">
        <f>SUM(AG141,AI141,AK141,AM141,AO141)</f>
        <v/>
      </c>
      <c r="AR141" s="17">
        <f>$J141*AP141</f>
        <v/>
      </c>
      <c r="AS141" s="17">
        <f>$J141*AQ141</f>
        <v/>
      </c>
      <c r="AT141" s="17">
        <f>AB141+AP141</f>
        <v/>
      </c>
      <c r="AU141" s="18">
        <f>AD141+AQ141</f>
        <v/>
      </c>
      <c r="AV141" s="17">
        <f>$J141*AT141</f>
        <v/>
      </c>
      <c r="AW141" s="18">
        <f>$J141*AU141</f>
        <v/>
      </c>
      <c r="AX141" s="23" t="inlineStr">
        <is>
          <t>Backstop not available for İRNX 01; Torque arm, input pulley and belts not in price list – ask İ.Mak</t>
        </is>
      </c>
      <c r="AY141" s="22" t="n"/>
    </row>
    <row r="142">
      <c r="A142" s="10" t="inlineStr">
        <is>
          <t>GB-138</t>
        </is>
      </c>
      <c r="B142" s="10" t="inlineStr">
        <is>
          <t>Shaft Mounted Reducer</t>
        </is>
      </c>
      <c r="C142" s="10" t="inlineStr">
        <is>
          <t>SMSR / Equivalent</t>
        </is>
      </c>
      <c r="D142" s="10" t="inlineStr">
        <is>
          <t>Supplier selection</t>
        </is>
      </c>
      <c r="E142" s="10" t="n">
        <v>4</v>
      </c>
      <c r="F142" s="10" t="inlineStr">
        <is>
          <t>1:10</t>
        </is>
      </c>
      <c r="G142" s="10" t="inlineStr">
        <is>
          <t>Torque-arm mounted</t>
        </is>
      </c>
      <c r="H142" s="10" t="inlineStr">
        <is>
          <t>Hollow shaft, keyed</t>
        </is>
      </c>
      <c r="I142" s="10" t="inlineStr">
        <is>
          <t>IEC motor adaptor/input</t>
        </is>
      </c>
      <c r="J142" s="10" t="n">
        <v>1</v>
      </c>
      <c r="K142" s="11" t="inlineStr">
        <is>
          <t>İRNX (shaft mounted)</t>
        </is>
      </c>
      <c r="L142" s="12" t="inlineStr">
        <is>
          <t>İRNX 01  i=5  + pulley 1:2 (overall ≈1:10)</t>
        </is>
      </c>
      <c r="M142" s="13" t="inlineStr">
        <is>
          <t>— (belt driven; motor, pulleys and belts supplied separately)</t>
        </is>
      </c>
      <c r="N142" s="11" t="n">
        <v>10</v>
      </c>
      <c r="O142" s="11" t="n">
        <v>130</v>
      </c>
      <c r="P142" s="11" t="n">
        <v>515</v>
      </c>
      <c r="Q142" s="13" t="inlineStr">
        <is>
          <t>4.9 kW max at fs 1.5</t>
        </is>
      </c>
      <c r="R142" s="13" t="inlineStr">
        <is>
          <t>IRNX table n1=1400 rpm, moderate load 16 h/day</t>
        </is>
      </c>
      <c r="S142" s="13" t="inlineStr">
        <is>
          <t>Hollow shaft, keyed (Ø30 on İRNX 01)</t>
        </is>
      </c>
      <c r="T142" s="13" t="inlineStr">
        <is>
          <t>Not available (input shaft + pulley)</t>
        </is>
      </c>
      <c r="U142" s="13" t="inlineStr">
        <is>
          <t>BSL backstop (CW/CCW 235/236); torque arm with rubber buffers; input shaft 131-136 variants; pulleys/belts quote separately</t>
        </is>
      </c>
      <c r="V142" s="13" t="inlineStr">
        <is>
          <t>IRNX 2024: ratings p.33; dims p.43</t>
        </is>
      </c>
      <c r="W142" s="13" t="inlineStr">
        <is>
          <t>Selected on "moderate load, 16 h/day (fs=1.50)" max-motor-kW column at n1=1400 rpm. Gear ratio 1:10 is not an IRNX ratio (IRNX gears are 5 / 13 / 20 / 30); overall 1:10 is reached with gearbox i=5 + V-belt pulley ratio 1:2 (catalogue pulley table). DEVIATION: IRNX has a keyed input shaft for belt/pulley drive only; no IEC motor adaptor in the catalogue. Direct-drive alternative: İRNX 01 i=13 (4.1 kW at fs 1.5, 1:13 not 1:10).</t>
        </is>
      </c>
      <c r="X142" s="14" t="inlineStr">
        <is>
          <t>İRNX 01</t>
        </is>
      </c>
      <c r="Y142" s="15" t="inlineStr">
        <is>
          <t>p.61 (IRNX series)</t>
        </is>
      </c>
      <c r="Z142" s="15" t="inlineStr">
        <is>
          <t>YES (no IEC version exists, input shaft only)</t>
        </is>
      </c>
      <c r="AA142" s="15" t="inlineStr">
        <is>
          <t>Shaft-mounted gear unit, hollow shaft, input shaft</t>
        </is>
      </c>
      <c r="AB142" s="16" t="n">
        <v>315</v>
      </c>
      <c r="AC142" s="17">
        <f>$J142*AB142</f>
        <v/>
      </c>
      <c r="AD142" s="18">
        <f>ROUND(AB142*(1-$L$2),2)</f>
        <v/>
      </c>
      <c r="AE142" s="18">
        <f>$J142*AD142</f>
        <v/>
      </c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>
        <f>SUM(AF142,AH142,AJ142,AL142,AN142)</f>
        <v/>
      </c>
      <c r="AQ142" s="17">
        <f>SUM(AG142,AI142,AK142,AM142,AO142)</f>
        <v/>
      </c>
      <c r="AR142" s="17">
        <f>$J142*AP142</f>
        <v/>
      </c>
      <c r="AS142" s="17">
        <f>$J142*AQ142</f>
        <v/>
      </c>
      <c r="AT142" s="17">
        <f>AB142+AP142</f>
        <v/>
      </c>
      <c r="AU142" s="18">
        <f>AD142+AQ142</f>
        <v/>
      </c>
      <c r="AV142" s="17">
        <f>$J142*AT142</f>
        <v/>
      </c>
      <c r="AW142" s="18">
        <f>$J142*AU142</f>
        <v/>
      </c>
      <c r="AX142" s="23" t="inlineStr">
        <is>
          <t>Backstop not available for İRNX 01; Torque arm, input pulley and belts not in price list – ask İ.Mak</t>
        </is>
      </c>
      <c r="AY142" s="22" t="n"/>
    </row>
    <row r="143">
      <c r="A143" s="10" t="inlineStr">
        <is>
          <t>GB-139</t>
        </is>
      </c>
      <c r="B143" s="10" t="inlineStr">
        <is>
          <t>Shaft Mounted Reducer</t>
        </is>
      </c>
      <c r="C143" s="10" t="inlineStr">
        <is>
          <t>SMSR / Equivalent</t>
        </is>
      </c>
      <c r="D143" s="10" t="inlineStr">
        <is>
          <t>Supplier selection</t>
        </is>
      </c>
      <c r="E143" s="10" t="n">
        <v>4</v>
      </c>
      <c r="F143" s="10" t="inlineStr">
        <is>
          <t>1:20</t>
        </is>
      </c>
      <c r="G143" s="10" t="inlineStr">
        <is>
          <t>Torque-arm mounted</t>
        </is>
      </c>
      <c r="H143" s="10" t="inlineStr">
        <is>
          <t>Hollow shaft, keyed</t>
        </is>
      </c>
      <c r="I143" s="10" t="inlineStr">
        <is>
          <t>IEC motor adaptor/input</t>
        </is>
      </c>
      <c r="J143" s="10" t="n">
        <v>1</v>
      </c>
      <c r="K143" s="11" t="inlineStr">
        <is>
          <t>İRNX (shaft mounted)</t>
        </is>
      </c>
      <c r="L143" s="12" t="inlineStr">
        <is>
          <t>İRNX 02  i=20</t>
        </is>
      </c>
      <c r="M143" s="13" t="inlineStr">
        <is>
          <t>— (belt driven; motor, pulleys and belts supplied separately)</t>
        </is>
      </c>
      <c r="N143" s="11" t="n">
        <v>20</v>
      </c>
      <c r="O143" s="11" t="n">
        <v>69</v>
      </c>
      <c r="P143" s="11" t="n">
        <v>815</v>
      </c>
      <c r="Q143" s="13" t="inlineStr">
        <is>
          <t>4.1 kW max at fs 1.5</t>
        </is>
      </c>
      <c r="R143" s="13" t="inlineStr">
        <is>
          <t>IRNX table n1=1400 rpm, moderate load 16 h/day</t>
        </is>
      </c>
      <c r="S143" s="13" t="inlineStr">
        <is>
          <t>Hollow shaft, keyed</t>
        </is>
      </c>
      <c r="T143" s="13" t="inlineStr">
        <is>
          <t>Not available (input shaft + pulley)</t>
        </is>
      </c>
      <c r="U143" s="13" t="inlineStr">
        <is>
          <t>BSL backstop (CW/CCW 235/236); torque arm with rubber buffers; input shaft 131-136 variants; pulleys/belts quote separately</t>
        </is>
      </c>
      <c r="V143" s="13" t="inlineStr">
        <is>
          <t>IRNX 2024: ratings p.33; dims p.44</t>
        </is>
      </c>
      <c r="W143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3" s="14" t="inlineStr">
        <is>
          <t>İRNX 02</t>
        </is>
      </c>
      <c r="Y143" s="15" t="inlineStr">
        <is>
          <t>p.61 (IRNX series)</t>
        </is>
      </c>
      <c r="Z143" s="15" t="inlineStr">
        <is>
          <t>YES (no IEC version exists, input shaft only)</t>
        </is>
      </c>
      <c r="AA143" s="15" t="inlineStr">
        <is>
          <t>Shaft-mounted gear unit, hollow shaft, input shaft</t>
        </is>
      </c>
      <c r="AB143" s="16" t="n">
        <v>436</v>
      </c>
      <c r="AC143" s="17">
        <f>$J143*AB143</f>
        <v/>
      </c>
      <c r="AD143" s="18">
        <f>ROUND(AB143*(1-$L$2),2)</f>
        <v/>
      </c>
      <c r="AE143" s="18">
        <f>$J143*AD143</f>
        <v/>
      </c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9" t="n">
        <v>149</v>
      </c>
      <c r="AO143" s="20">
        <f>ROUND(AN143*(1-$L$2),2)</f>
        <v/>
      </c>
      <c r="AP143" s="17">
        <f>SUM(AF143,AH143,AJ143,AL143,AN143)</f>
        <v/>
      </c>
      <c r="AQ143" s="17">
        <f>SUM(AG143,AI143,AK143,AM143,AO143)</f>
        <v/>
      </c>
      <c r="AR143" s="17">
        <f>$J143*AP143</f>
        <v/>
      </c>
      <c r="AS143" s="17">
        <f>$J143*AQ143</f>
        <v/>
      </c>
      <c r="AT143" s="17">
        <f>AB143+AP143</f>
        <v/>
      </c>
      <c r="AU143" s="18">
        <f>AD143+AQ143</f>
        <v/>
      </c>
      <c r="AV143" s="17">
        <f>$J143*AT143</f>
        <v/>
      </c>
      <c r="AW143" s="18">
        <f>$J143*AU143</f>
        <v/>
      </c>
      <c r="AX143" s="23" t="inlineStr">
        <is>
          <t>Torque arm, input pulley and belts not in price list – ask İ.Mak</t>
        </is>
      </c>
      <c r="AY143" s="22" t="n"/>
    </row>
    <row r="144">
      <c r="A144" s="10" t="inlineStr">
        <is>
          <t>GB-140</t>
        </is>
      </c>
      <c r="B144" s="10" t="inlineStr">
        <is>
          <t>Shaft Mounted Reducer</t>
        </is>
      </c>
      <c r="C144" s="10" t="inlineStr">
        <is>
          <t>SMSR / Equivalent</t>
        </is>
      </c>
      <c r="D144" s="10" t="inlineStr">
        <is>
          <t>Supplier selection</t>
        </is>
      </c>
      <c r="E144" s="10" t="n">
        <v>5.5</v>
      </c>
      <c r="F144" s="10" t="inlineStr">
        <is>
          <t>1:13</t>
        </is>
      </c>
      <c r="G144" s="10" t="inlineStr">
        <is>
          <t>Torque-arm mounted</t>
        </is>
      </c>
      <c r="H144" s="10" t="inlineStr">
        <is>
          <t>Hollow shaft, keyed</t>
        </is>
      </c>
      <c r="I144" s="10" t="inlineStr">
        <is>
          <t>IEC motor adaptor/input</t>
        </is>
      </c>
      <c r="J144" s="10" t="n">
        <v>1</v>
      </c>
      <c r="K144" s="11" t="inlineStr">
        <is>
          <t>İRNX (shaft mounted)</t>
        </is>
      </c>
      <c r="L144" s="12" t="inlineStr">
        <is>
          <t>İRNX 02  i=13</t>
        </is>
      </c>
      <c r="M144" s="13" t="inlineStr">
        <is>
          <t>— (belt driven; motor, pulleys and belts supplied separately)</t>
        </is>
      </c>
      <c r="N144" s="11" t="n">
        <v>13</v>
      </c>
      <c r="O144" s="11" t="n">
        <v>107</v>
      </c>
      <c r="P144" s="11" t="n">
        <v>815</v>
      </c>
      <c r="Q144" s="13" t="inlineStr">
        <is>
          <t>6.4 kW max at fs 1.5</t>
        </is>
      </c>
      <c r="R144" s="13" t="inlineStr">
        <is>
          <t>IRNX table n1=1400 rpm, moderate load 16 h/day</t>
        </is>
      </c>
      <c r="S144" s="13" t="inlineStr">
        <is>
          <t>Hollow shaft, keyed</t>
        </is>
      </c>
      <c r="T144" s="13" t="inlineStr">
        <is>
          <t>Not available (input shaft + pulley)</t>
        </is>
      </c>
      <c r="U144" s="13" t="inlineStr">
        <is>
          <t>BSL backstop (CW/CCW 235/236); torque arm with rubber buffers; input shaft 131-136 variants; pulleys/belts quote separately</t>
        </is>
      </c>
      <c r="V144" s="13" t="inlineStr">
        <is>
          <t>IRNX 2024: ratings p.33; dims p.44</t>
        </is>
      </c>
      <c r="W144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4" s="14" t="inlineStr">
        <is>
          <t>İRNX 02</t>
        </is>
      </c>
      <c r="Y144" s="15" t="inlineStr">
        <is>
          <t>p.61 (IRNX series)</t>
        </is>
      </c>
      <c r="Z144" s="15" t="inlineStr">
        <is>
          <t>YES (no IEC version exists, input shaft only)</t>
        </is>
      </c>
      <c r="AA144" s="15" t="inlineStr">
        <is>
          <t>Shaft-mounted gear unit, hollow shaft, input shaft</t>
        </is>
      </c>
      <c r="AB144" s="16" t="n">
        <v>436</v>
      </c>
      <c r="AC144" s="17">
        <f>$J144*AB144</f>
        <v/>
      </c>
      <c r="AD144" s="18">
        <f>ROUND(AB144*(1-$L$2),2)</f>
        <v/>
      </c>
      <c r="AE144" s="18">
        <f>$J144*AD144</f>
        <v/>
      </c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9" t="n">
        <v>149</v>
      </c>
      <c r="AO144" s="20">
        <f>ROUND(AN144*(1-$L$2),2)</f>
        <v/>
      </c>
      <c r="AP144" s="17">
        <f>SUM(AF144,AH144,AJ144,AL144,AN144)</f>
        <v/>
      </c>
      <c r="AQ144" s="17">
        <f>SUM(AG144,AI144,AK144,AM144,AO144)</f>
        <v/>
      </c>
      <c r="AR144" s="17">
        <f>$J144*AP144</f>
        <v/>
      </c>
      <c r="AS144" s="17">
        <f>$J144*AQ144</f>
        <v/>
      </c>
      <c r="AT144" s="17">
        <f>AB144+AP144</f>
        <v/>
      </c>
      <c r="AU144" s="18">
        <f>AD144+AQ144</f>
        <v/>
      </c>
      <c r="AV144" s="17">
        <f>$J144*AT144</f>
        <v/>
      </c>
      <c r="AW144" s="18">
        <f>$J144*AU144</f>
        <v/>
      </c>
      <c r="AX144" s="23" t="inlineStr">
        <is>
          <t>Torque arm, input pulley and belts not in price list – ask İ.Mak</t>
        </is>
      </c>
      <c r="AY144" s="22" t="n"/>
    </row>
    <row r="145">
      <c r="A145" s="10" t="inlineStr">
        <is>
          <t>GB-141</t>
        </is>
      </c>
      <c r="B145" s="10" t="inlineStr">
        <is>
          <t>Shaft Mounted Reducer</t>
        </is>
      </c>
      <c r="C145" s="10" t="inlineStr">
        <is>
          <t>SMSR / Equivalent</t>
        </is>
      </c>
      <c r="D145" s="10" t="inlineStr">
        <is>
          <t>Supplier selection</t>
        </is>
      </c>
      <c r="E145" s="10" t="n">
        <v>5.5</v>
      </c>
      <c r="F145" s="10" t="inlineStr">
        <is>
          <t>1:20</t>
        </is>
      </c>
      <c r="G145" s="10" t="inlineStr">
        <is>
          <t>Torque-arm mounted</t>
        </is>
      </c>
      <c r="H145" s="10" t="inlineStr">
        <is>
          <t>Hollow shaft, keyed</t>
        </is>
      </c>
      <c r="I145" s="10" t="inlineStr">
        <is>
          <t>IEC motor adaptor/input</t>
        </is>
      </c>
      <c r="J145" s="10" t="n">
        <v>1</v>
      </c>
      <c r="K145" s="11" t="inlineStr">
        <is>
          <t>İRNX (shaft mounted)</t>
        </is>
      </c>
      <c r="L145" s="12" t="inlineStr">
        <is>
          <t>İRNX 03  i=21</t>
        </is>
      </c>
      <c r="M145" s="13" t="inlineStr">
        <is>
          <t>— (belt driven; motor, pulleys and belts supplied separately)</t>
        </is>
      </c>
      <c r="N145" s="11" t="n">
        <v>21</v>
      </c>
      <c r="O145" s="11" t="n">
        <v>67</v>
      </c>
      <c r="P145" s="11" t="n">
        <v>1290</v>
      </c>
      <c r="Q145" s="13" t="inlineStr">
        <is>
          <t>6.4 kW max at fs 1.5</t>
        </is>
      </c>
      <c r="R145" s="13" t="inlineStr">
        <is>
          <t>IRNX table n1=1400 rpm, moderate load 16 h/day</t>
        </is>
      </c>
      <c r="S145" s="13" t="inlineStr">
        <is>
          <t>Hollow shaft, keyed</t>
        </is>
      </c>
      <c r="T145" s="13" t="inlineStr">
        <is>
          <t>Not available (input shaft + pulley)</t>
        </is>
      </c>
      <c r="U145" s="13" t="inlineStr">
        <is>
          <t>BSL backstop (CW/CCW 235/236); torque arm with rubber buffers; input shaft 131-136 variants; pulleys/belts quote separately</t>
        </is>
      </c>
      <c r="V145" s="13" t="inlineStr">
        <is>
          <t>IRNX 2024: ratings p.33; dims p.45</t>
        </is>
      </c>
      <c r="W145" s="13" t="inlineStr">
        <is>
          <t>Selected on "moderate load, 16 h/day (fs=1.50)" max-motor-kW column at n1=1400 rpm. İRNX 02 i=20 is only rated 4.1 kW at fs 1.5, so the next size is used. DEVIATION: IRNX has a keyed input shaft for belt/pulley drive only; no IEC motor adaptor in the catalogue.</t>
        </is>
      </c>
      <c r="X145" s="14" t="inlineStr">
        <is>
          <t>İRNX 03</t>
        </is>
      </c>
      <c r="Y145" s="15" t="inlineStr">
        <is>
          <t>p.61 (IRNX series)</t>
        </is>
      </c>
      <c r="Z145" s="15" t="inlineStr">
        <is>
          <t>YES (no IEC version exists, input shaft only)</t>
        </is>
      </c>
      <c r="AA145" s="15" t="inlineStr">
        <is>
          <t>Shaft-mounted gear unit, hollow shaft, input shaft</t>
        </is>
      </c>
      <c r="AB145" s="16" t="n">
        <v>591</v>
      </c>
      <c r="AC145" s="17">
        <f>$J145*AB145</f>
        <v/>
      </c>
      <c r="AD145" s="18">
        <f>ROUND(AB145*(1-$L$2),2)</f>
        <v/>
      </c>
      <c r="AE145" s="18">
        <f>$J145*AD145</f>
        <v/>
      </c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9" t="n">
        <v>149</v>
      </c>
      <c r="AO145" s="20">
        <f>ROUND(AN145*(1-$L$2),2)</f>
        <v/>
      </c>
      <c r="AP145" s="17">
        <f>SUM(AF145,AH145,AJ145,AL145,AN145)</f>
        <v/>
      </c>
      <c r="AQ145" s="17">
        <f>SUM(AG145,AI145,AK145,AM145,AO145)</f>
        <v/>
      </c>
      <c r="AR145" s="17">
        <f>$J145*AP145</f>
        <v/>
      </c>
      <c r="AS145" s="17">
        <f>$J145*AQ145</f>
        <v/>
      </c>
      <c r="AT145" s="17">
        <f>AB145+AP145</f>
        <v/>
      </c>
      <c r="AU145" s="18">
        <f>AD145+AQ145</f>
        <v/>
      </c>
      <c r="AV145" s="17">
        <f>$J145*AT145</f>
        <v/>
      </c>
      <c r="AW145" s="18">
        <f>$J145*AU145</f>
        <v/>
      </c>
      <c r="AX145" s="23" t="inlineStr">
        <is>
          <t>Torque arm, input pulley and belts not in price list – ask İ.Mak</t>
        </is>
      </c>
      <c r="AY145" s="22" t="n"/>
    </row>
    <row r="146">
      <c r="A146" s="10" t="inlineStr">
        <is>
          <t>GB-142</t>
        </is>
      </c>
      <c r="B146" s="10" t="inlineStr">
        <is>
          <t>Shaft Mounted Reducer</t>
        </is>
      </c>
      <c r="C146" s="10" t="inlineStr">
        <is>
          <t>SMSR / Equivalent</t>
        </is>
      </c>
      <c r="D146" s="10" t="inlineStr">
        <is>
          <t>Supplier selection</t>
        </is>
      </c>
      <c r="E146" s="10" t="n">
        <v>7.5</v>
      </c>
      <c r="F146" s="10" t="inlineStr">
        <is>
          <t>1:20</t>
        </is>
      </c>
      <c r="G146" s="10" t="inlineStr">
        <is>
          <t>Torque-arm mounted</t>
        </is>
      </c>
      <c r="H146" s="10" t="inlineStr">
        <is>
          <t>Hollow shaft, keyed</t>
        </is>
      </c>
      <c r="I146" s="10" t="inlineStr">
        <is>
          <t>IEC motor adaptor/input</t>
        </is>
      </c>
      <c r="J146" s="10" t="n">
        <v>1</v>
      </c>
      <c r="K146" s="11" t="inlineStr">
        <is>
          <t>İRNX (shaft mounted)</t>
        </is>
      </c>
      <c r="L146" s="12" t="inlineStr">
        <is>
          <t>İRNX 04  i=20</t>
        </is>
      </c>
      <c r="M146" s="13" t="inlineStr">
        <is>
          <t>— (belt driven; motor, pulleys and belts supplied separately)</t>
        </is>
      </c>
      <c r="N146" s="11" t="n">
        <v>20</v>
      </c>
      <c r="O146" s="11" t="n">
        <v>70</v>
      </c>
      <c r="P146" s="11" t="n">
        <v>1800</v>
      </c>
      <c r="Q146" s="13" t="inlineStr">
        <is>
          <t>9.3 kW max at fs 1.5</t>
        </is>
      </c>
      <c r="R146" s="13" t="inlineStr">
        <is>
          <t>IRNX table n1=1400 rpm, moderate load 16 h/day</t>
        </is>
      </c>
      <c r="S146" s="13" t="inlineStr">
        <is>
          <t>Hollow shaft, keyed</t>
        </is>
      </c>
      <c r="T146" s="13" t="inlineStr">
        <is>
          <t>Not available (input shaft + pulley)</t>
        </is>
      </c>
      <c r="U146" s="13" t="inlineStr">
        <is>
          <t>BSL backstop (CW/CCW 235/236); torque arm with rubber buffers; input shaft 131-136 variants; pulleys/belts quote separately</t>
        </is>
      </c>
      <c r="V146" s="13" t="inlineStr">
        <is>
          <t>IRNX 2024: ratings p.34; dims p.46</t>
        </is>
      </c>
      <c r="W146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6" s="14" t="inlineStr">
        <is>
          <t>İRNX 04</t>
        </is>
      </c>
      <c r="Y146" s="15" t="inlineStr">
        <is>
          <t>p.61 (IRNX series)</t>
        </is>
      </c>
      <c r="Z146" s="15" t="inlineStr">
        <is>
          <t>YES (no IEC version exists, input shaft only)</t>
        </is>
      </c>
      <c r="AA146" s="15" t="inlineStr">
        <is>
          <t>Shaft-mounted gear unit, hollow shaft, input shaft</t>
        </is>
      </c>
      <c r="AB146" s="16" t="n">
        <v>775</v>
      </c>
      <c r="AC146" s="17">
        <f>$J146*AB146</f>
        <v/>
      </c>
      <c r="AD146" s="18">
        <f>ROUND(AB146*(1-$L$2),2)</f>
        <v/>
      </c>
      <c r="AE146" s="18">
        <f>$J146*AD146</f>
        <v/>
      </c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9" t="n">
        <v>197</v>
      </c>
      <c r="AO146" s="20">
        <f>ROUND(AN146*(1-$L$2),2)</f>
        <v/>
      </c>
      <c r="AP146" s="17">
        <f>SUM(AF146,AH146,AJ146,AL146,AN146)</f>
        <v/>
      </c>
      <c r="AQ146" s="17">
        <f>SUM(AG146,AI146,AK146,AM146,AO146)</f>
        <v/>
      </c>
      <c r="AR146" s="17">
        <f>$J146*AP146</f>
        <v/>
      </c>
      <c r="AS146" s="17">
        <f>$J146*AQ146</f>
        <v/>
      </c>
      <c r="AT146" s="17">
        <f>AB146+AP146</f>
        <v/>
      </c>
      <c r="AU146" s="18">
        <f>AD146+AQ146</f>
        <v/>
      </c>
      <c r="AV146" s="17">
        <f>$J146*AT146</f>
        <v/>
      </c>
      <c r="AW146" s="18">
        <f>$J146*AU146</f>
        <v/>
      </c>
      <c r="AX146" s="23" t="inlineStr">
        <is>
          <t>Torque arm, input pulley and belts not in price list – ask İ.Mak</t>
        </is>
      </c>
      <c r="AY146" s="22" t="n"/>
    </row>
    <row r="147">
      <c r="A147" s="10" t="inlineStr">
        <is>
          <t>GB-143</t>
        </is>
      </c>
      <c r="B147" s="10" t="inlineStr">
        <is>
          <t>Shaft Mounted Reducer</t>
        </is>
      </c>
      <c r="C147" s="10" t="inlineStr">
        <is>
          <t>SMSR / Equivalent</t>
        </is>
      </c>
      <c r="D147" s="10" t="inlineStr">
        <is>
          <t>Supplier selection</t>
        </is>
      </c>
      <c r="E147" s="10" t="n">
        <v>11</v>
      </c>
      <c r="F147" s="10" t="inlineStr">
        <is>
          <t>1:20</t>
        </is>
      </c>
      <c r="G147" s="10" t="inlineStr">
        <is>
          <t>Torque-arm mounted</t>
        </is>
      </c>
      <c r="H147" s="10" t="inlineStr">
        <is>
          <t>Hollow shaft, keyed</t>
        </is>
      </c>
      <c r="I147" s="10" t="inlineStr">
        <is>
          <t>IEC motor adaptor/input</t>
        </is>
      </c>
      <c r="J147" s="10" t="n">
        <v>1</v>
      </c>
      <c r="K147" s="11" t="inlineStr">
        <is>
          <t>İRNX (shaft mounted)</t>
        </is>
      </c>
      <c r="L147" s="12" t="inlineStr">
        <is>
          <t>İRNX 05  i=21</t>
        </is>
      </c>
      <c r="M147" s="13" t="inlineStr">
        <is>
          <t>— (belt driven; motor, pulleys and belts supplied separately)</t>
        </is>
      </c>
      <c r="N147" s="11" t="n">
        <v>21</v>
      </c>
      <c r="O147" s="11" t="n">
        <v>68</v>
      </c>
      <c r="P147" s="11" t="n">
        <v>3160</v>
      </c>
      <c r="Q147" s="13" t="inlineStr">
        <is>
          <t>16.0 kW max at fs 1.5</t>
        </is>
      </c>
      <c r="R147" s="13" t="inlineStr">
        <is>
          <t>IRNX table n1=1400 rpm, moderate load 16 h/day</t>
        </is>
      </c>
      <c r="S147" s="13" t="inlineStr">
        <is>
          <t>Hollow shaft, keyed</t>
        </is>
      </c>
      <c r="T147" s="13" t="inlineStr">
        <is>
          <t>Not available (input shaft + pulley)</t>
        </is>
      </c>
      <c r="U147" s="13" t="inlineStr">
        <is>
          <t>BSL backstop (CW/CCW 235/236); torque arm with rubber buffers; input shaft 131-136 variants; pulleys/belts quote separately</t>
        </is>
      </c>
      <c r="V147" s="13" t="inlineStr">
        <is>
          <t>IRNX 2024: ratings p.34; dims p.47</t>
        </is>
      </c>
      <c r="W147" s="13" t="inlineStr">
        <is>
          <t>Selected on "moderate load, 16 h/day (fs=1.50)" max-motor-kW column at n1=1400 rpm. DEVIATION: IRNX has a keyed input shaft for belt/pulley drive only; no IEC motor adaptor in the catalogue.</t>
        </is>
      </c>
      <c r="X147" s="14" t="inlineStr">
        <is>
          <t>İRNX 05</t>
        </is>
      </c>
      <c r="Y147" s="15" t="inlineStr">
        <is>
          <t>p.61 (IRNX series)</t>
        </is>
      </c>
      <c r="Z147" s="15" t="inlineStr">
        <is>
          <t>YES (no IEC version exists, input shaft only)</t>
        </is>
      </c>
      <c r="AA147" s="15" t="inlineStr">
        <is>
          <t>Shaft-mounted gear unit, hollow shaft, input shaft</t>
        </is>
      </c>
      <c r="AB147" s="16" t="n">
        <v>1043</v>
      </c>
      <c r="AC147" s="17">
        <f>$J147*AB147</f>
        <v/>
      </c>
      <c r="AD147" s="18">
        <f>ROUND(AB147*(1-$L$2),2)</f>
        <v/>
      </c>
      <c r="AE147" s="18">
        <f>$J147*AD147</f>
        <v/>
      </c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9" t="n">
        <v>197</v>
      </c>
      <c r="AO147" s="20">
        <f>ROUND(AN147*(1-$L$2),2)</f>
        <v/>
      </c>
      <c r="AP147" s="17">
        <f>SUM(AF147,AH147,AJ147,AL147,AN147)</f>
        <v/>
      </c>
      <c r="AQ147" s="17">
        <f>SUM(AG147,AI147,AK147,AM147,AO147)</f>
        <v/>
      </c>
      <c r="AR147" s="17">
        <f>$J147*AP147</f>
        <v/>
      </c>
      <c r="AS147" s="17">
        <f>$J147*AQ147</f>
        <v/>
      </c>
      <c r="AT147" s="17">
        <f>AB147+AP147</f>
        <v/>
      </c>
      <c r="AU147" s="18">
        <f>AD147+AQ147</f>
        <v/>
      </c>
      <c r="AV147" s="17">
        <f>$J147*AT147</f>
        <v/>
      </c>
      <c r="AW147" s="18">
        <f>$J147*AU147</f>
        <v/>
      </c>
      <c r="AX147" s="23" t="inlineStr">
        <is>
          <t>Torque arm, input pulley and belts not in price list – ask İ.Mak</t>
        </is>
      </c>
      <c r="AY147" s="22" t="n"/>
    </row>
    <row r="148">
      <c r="A148" s="10" t="inlineStr">
        <is>
          <t>GB-144</t>
        </is>
      </c>
      <c r="B148" s="10" t="inlineStr">
        <is>
          <t>Shaft Mounted Reducer</t>
        </is>
      </c>
      <c r="C148" s="10" t="inlineStr">
        <is>
          <t>SMSR / Equivalent</t>
        </is>
      </c>
      <c r="D148" s="10" t="inlineStr">
        <is>
          <t>Supplier selection</t>
        </is>
      </c>
      <c r="E148" s="10" t="n">
        <v>15</v>
      </c>
      <c r="F148" s="10" t="inlineStr">
        <is>
          <t>1:25</t>
        </is>
      </c>
      <c r="G148" s="10" t="inlineStr">
        <is>
          <t>Torque-arm mounted</t>
        </is>
      </c>
      <c r="H148" s="10" t="inlineStr">
        <is>
          <t>Hollow shaft, keyed</t>
        </is>
      </c>
      <c r="I148" s="10" t="inlineStr">
        <is>
          <t>IEC motor adaptor/input</t>
        </is>
      </c>
      <c r="J148" s="10" t="n">
        <v>1</v>
      </c>
      <c r="K148" s="11" t="inlineStr">
        <is>
          <t>İRNX (shaft mounted)</t>
        </is>
      </c>
      <c r="L148" s="12" t="inlineStr">
        <is>
          <t>İRNX 06  i=13  + pulley 1:2 (overall ≈1:26)</t>
        </is>
      </c>
      <c r="M148" s="13" t="inlineStr">
        <is>
          <t>— (belt driven; motor, pulleys and belts supplied separately)</t>
        </is>
      </c>
      <c r="N148" s="11" t="n">
        <v>26</v>
      </c>
      <c r="O148" s="11" t="n">
        <v>55</v>
      </c>
      <c r="P148" s="11" t="n">
        <v>4690</v>
      </c>
      <c r="Q148" s="13" t="inlineStr">
        <is>
          <t>19.0 kW max at fs 1.5</t>
        </is>
      </c>
      <c r="R148" s="13" t="inlineStr">
        <is>
          <t>IRNX table n1=1400 rpm, moderate load 16 h/day</t>
        </is>
      </c>
      <c r="S148" s="13" t="inlineStr">
        <is>
          <t>Hollow shaft, keyed</t>
        </is>
      </c>
      <c r="T148" s="13" t="inlineStr">
        <is>
          <t>Not available (input shaft + pulley)</t>
        </is>
      </c>
      <c r="U148" s="13" t="inlineStr">
        <is>
          <t>BSL backstop (CW/CCW 235/236); torque arm with rubber buffers; input shaft 131-136 variants; pulleys/belts quote separately</t>
        </is>
      </c>
      <c r="V148" s="13" t="inlineStr">
        <is>
          <t>IRNX 2024: ratings p.34; dims p.48</t>
        </is>
      </c>
      <c r="W148" s="13" t="inlineStr">
        <is>
          <t>Selected on "moderate load, 16 h/day (fs=1.50)" max-motor-kW column at n1=1400 rpm. Gear ratio 1:25 is not an IRNX ratio (IRNX gears are 5 / 13 / 20 / 30); overall 1:26 is reached with gearbox i=13 + V-belt pulley ratio 1:2 (catalogue pulley table). DEVIATION: IRNX has a keyed input shaft for belt/pulley drive only; no IEC motor adaptor in the catalogue. Direct-drive alternative: İRNX 05 i=21 (1:21 not 1:25, 16.0 kW at fs 1.5).</t>
        </is>
      </c>
      <c r="X148" s="14" t="inlineStr">
        <is>
          <t>İRNX 06</t>
        </is>
      </c>
      <c r="Y148" s="15" t="inlineStr">
        <is>
          <t>p.61 (IRNX series)</t>
        </is>
      </c>
      <c r="Z148" s="15" t="inlineStr">
        <is>
          <t>YES (no IEC version exists, input shaft only)</t>
        </is>
      </c>
      <c r="AA148" s="15" t="inlineStr">
        <is>
          <t>Shaft-mounted gear unit, hollow shaft, input shaft</t>
        </is>
      </c>
      <c r="AB148" s="16" t="n">
        <v>1386</v>
      </c>
      <c r="AC148" s="17">
        <f>$J148*AB148</f>
        <v/>
      </c>
      <c r="AD148" s="18">
        <f>ROUND(AB148*(1-$L$2),2)</f>
        <v/>
      </c>
      <c r="AE148" s="18">
        <f>$J148*AD148</f>
        <v/>
      </c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9" t="n">
        <v>245</v>
      </c>
      <c r="AO148" s="20">
        <f>ROUND(AN148*(1-$L$2),2)</f>
        <v/>
      </c>
      <c r="AP148" s="17">
        <f>SUM(AF148,AH148,AJ148,AL148,AN148)</f>
        <v/>
      </c>
      <c r="AQ148" s="17">
        <f>SUM(AG148,AI148,AK148,AM148,AO148)</f>
        <v/>
      </c>
      <c r="AR148" s="17">
        <f>$J148*AP148</f>
        <v/>
      </c>
      <c r="AS148" s="17">
        <f>$J148*AQ148</f>
        <v/>
      </c>
      <c r="AT148" s="17">
        <f>AB148+AP148</f>
        <v/>
      </c>
      <c r="AU148" s="18">
        <f>AD148+AQ148</f>
        <v/>
      </c>
      <c r="AV148" s="17">
        <f>$J148*AT148</f>
        <v/>
      </c>
      <c r="AW148" s="18">
        <f>$J148*AU148</f>
        <v/>
      </c>
      <c r="AX148" s="23" t="inlineStr">
        <is>
          <t>Torque arm, input pulley and belts not in price list – ask İ.Mak</t>
        </is>
      </c>
      <c r="AY148" s="22" t="n"/>
    </row>
    <row r="149">
      <c r="A149" s="10" t="inlineStr">
        <is>
          <t>GB-145</t>
        </is>
      </c>
      <c r="B149" s="10" t="inlineStr">
        <is>
          <t>Shaft Mounted Reducer</t>
        </is>
      </c>
      <c r="C149" s="10" t="inlineStr">
        <is>
          <t>SMSR / Equivalent</t>
        </is>
      </c>
      <c r="D149" s="10" t="inlineStr">
        <is>
          <t>Supplier selection</t>
        </is>
      </c>
      <c r="E149" s="10" t="n">
        <v>30</v>
      </c>
      <c r="F149" s="10" t="inlineStr">
        <is>
          <t>1:25</t>
        </is>
      </c>
      <c r="G149" s="10" t="inlineStr">
        <is>
          <t>Torque-arm mounted</t>
        </is>
      </c>
      <c r="H149" s="10" t="inlineStr">
        <is>
          <t>Hollow shaft, keyed</t>
        </is>
      </c>
      <c r="I149" s="10" t="inlineStr">
        <is>
          <t>IEC motor adaptor/input</t>
        </is>
      </c>
      <c r="J149" s="10" t="n">
        <v>1</v>
      </c>
      <c r="K149" s="11" t="inlineStr">
        <is>
          <t>İRNX (shaft mounted)</t>
        </is>
      </c>
      <c r="L149" s="12" t="inlineStr">
        <is>
          <t>İRNX 08  i=13  + pulley 1:2 (overall ≈1:26)</t>
        </is>
      </c>
      <c r="M149" s="13" t="inlineStr">
        <is>
          <t>— (belt driven; motor, pulleys and belts supplied separately)</t>
        </is>
      </c>
      <c r="N149" s="11" t="n">
        <v>26</v>
      </c>
      <c r="O149" s="11" t="n">
        <v>53</v>
      </c>
      <c r="P149" s="11" t="n">
        <v>9920</v>
      </c>
      <c r="Q149" s="13" t="inlineStr">
        <is>
          <t>38.0 kW max at fs 1.5</t>
        </is>
      </c>
      <c r="R149" s="13" t="inlineStr">
        <is>
          <t>IRNX table n1=1400 rpm, moderate load 16 h/day</t>
        </is>
      </c>
      <c r="S149" s="13" t="inlineStr">
        <is>
          <t>Hollow shaft, keyed</t>
        </is>
      </c>
      <c r="T149" s="13" t="inlineStr">
        <is>
          <t>Not available (input shaft + pulley)</t>
        </is>
      </c>
      <c r="U149" s="13" t="inlineStr">
        <is>
          <t>BSL backstop (CW/CCW 235/236); torque arm with rubber buffers; input shaft 131-136 variants; pulleys/belts quote separately</t>
        </is>
      </c>
      <c r="V149" s="13" t="inlineStr">
        <is>
          <t>IRNX 2024: ratings p.35; dims p.50</t>
        </is>
      </c>
      <c r="W149" s="13" t="inlineStr">
        <is>
          <t>Selected on "moderate load, 16 h/day (fs=1.50)" max-motor-kW column at n1=1400 rpm. Gear ratio 1:25 is not an IRNX ratio (IRNX gears are 5 / 13 / 20 / 30); overall 1:26 is reached with gearbox i=13 + V-belt pulley ratio 1:2 (catalogue pulley table). DEVIATION: IRNX has a keyed input shaft for belt/pulley drive only; no IEC motor adaptor in the catalogue. Direct-drive alternative: İRNX 07 i=20 (1:20 not 1:25, 38.0 kW at fs 1.5).</t>
        </is>
      </c>
      <c r="X149" s="14" t="inlineStr">
        <is>
          <t>İRNX 08</t>
        </is>
      </c>
      <c r="Y149" s="15" t="inlineStr">
        <is>
          <t>p.61 (IRNX series)</t>
        </is>
      </c>
      <c r="Z149" s="15" t="inlineStr">
        <is>
          <t>YES (no IEC version exists, input shaft only)</t>
        </is>
      </c>
      <c r="AA149" s="15" t="inlineStr">
        <is>
          <t>Shaft-mounted gear unit, hollow shaft, input shaft</t>
        </is>
      </c>
      <c r="AB149" s="16" t="n">
        <v>3599</v>
      </c>
      <c r="AC149" s="17">
        <f>$J149*AB149</f>
        <v/>
      </c>
      <c r="AD149" s="18">
        <f>ROUND(AB149*(1-$L$2),2)</f>
        <v/>
      </c>
      <c r="AE149" s="18">
        <f>$J149*AD149</f>
        <v/>
      </c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9" t="n">
        <v>351</v>
      </c>
      <c r="AO149" s="20">
        <f>ROUND(AN149*(1-$L$2),2)</f>
        <v/>
      </c>
      <c r="AP149" s="17">
        <f>SUM(AF149,AH149,AJ149,AL149,AN149)</f>
        <v/>
      </c>
      <c r="AQ149" s="17">
        <f>SUM(AG149,AI149,AK149,AM149,AO149)</f>
        <v/>
      </c>
      <c r="AR149" s="17">
        <f>$J149*AP149</f>
        <v/>
      </c>
      <c r="AS149" s="17">
        <f>$J149*AQ149</f>
        <v/>
      </c>
      <c r="AT149" s="17">
        <f>AB149+AP149</f>
        <v/>
      </c>
      <c r="AU149" s="18">
        <f>AD149+AQ149</f>
        <v/>
      </c>
      <c r="AV149" s="17">
        <f>$J149*AT149</f>
        <v/>
      </c>
      <c r="AW149" s="18">
        <f>$J149*AU149</f>
        <v/>
      </c>
      <c r="AX149" s="23" t="inlineStr">
        <is>
          <t>Torque arm, input pulley and belts not in price list – ask İ.Mak</t>
        </is>
      </c>
      <c r="AY149" s="22" t="n"/>
    </row>
    <row r="150">
      <c r="A150" s="24" t="inlineStr">
        <is>
          <t>TOTALS</t>
        </is>
      </c>
      <c r="J150" s="24">
        <f>SUM(J5:J149)</f>
        <v/>
      </c>
      <c r="AC150" s="25">
        <f>SUM(AC5:AC149)</f>
        <v/>
      </c>
      <c r="AE150" s="25">
        <f>SUM(AE5:AE149)</f>
        <v/>
      </c>
      <c r="AR150" s="25">
        <f>SUM(AR5:AR149)</f>
        <v/>
      </c>
      <c r="AS150" s="25">
        <f>SUM(AS5:AS149)</f>
        <v/>
      </c>
      <c r="AV150" s="25">
        <f>SUM(AV5:AV149)</f>
        <v/>
      </c>
      <c r="AW150" s="25">
        <f>SUM(AW5:AW149)</f>
        <v/>
      </c>
    </row>
  </sheetData>
  <autoFilter ref="A4:AY149"/>
  <mergeCells count="2">
    <mergeCell ref="A1:AY1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9" customWidth="1" min="3" max="3"/>
    <col width="15" customWidth="1" min="4" max="4"/>
    <col width="15" customWidth="1" min="5" max="5"/>
    <col width="15" customWidth="1" min="6" max="6"/>
    <col width="15" customWidth="1" min="7" max="7"/>
    <col width="18" customWidth="1" min="8" max="8"/>
    <col width="18" customWidth="1" min="9" max="9"/>
  </cols>
  <sheetData>
    <row r="1">
      <c r="A1" s="26" t="inlineStr">
        <is>
          <t>Price summary by category</t>
        </is>
      </c>
    </row>
    <row r="3" ht="32" customHeight="1">
      <c r="A3" s="27" t="inlineStr">
        <is>
          <t>Category</t>
        </is>
      </c>
      <c r="B3" s="27" t="inlineStr">
        <is>
          <t>Lines</t>
        </is>
      </c>
      <c r="C3" s="27" t="inlineStr">
        <is>
          <t>Units (Qty)</t>
        </is>
      </c>
      <c r="D3" s="27" t="inlineStr">
        <is>
          <t>Units – List (€)</t>
        </is>
      </c>
      <c r="E3" s="27" t="inlineStr">
        <is>
          <t>Units – Net (€)</t>
        </is>
      </c>
      <c r="F3" s="27" t="inlineStr">
        <is>
          <t>Options – List (€)</t>
        </is>
      </c>
      <c r="G3" s="27" t="inlineStr">
        <is>
          <t>Options – Net (€)</t>
        </is>
      </c>
      <c r="H3" s="27" t="inlineStr">
        <is>
          <t>Total incl. Options – List (€)</t>
        </is>
      </c>
      <c r="I3" s="27" t="inlineStr">
        <is>
          <t>Total incl. Options – Net (€)</t>
        </is>
      </c>
    </row>
    <row r="4">
      <c r="A4" s="28" t="inlineStr">
        <is>
          <t>Worm Gearbox</t>
        </is>
      </c>
      <c r="B4" s="28">
        <f>COUNTIF('İ.Mak Priced Quotation'!$B$5:$B$149,A4)</f>
        <v/>
      </c>
      <c r="C4" s="28">
        <f>SUMIF('İ.Mak Priced Quotation'!$B$5:$B$149,A4,'İ.Mak Priced Quotation'!$J$5:$J$149)</f>
        <v/>
      </c>
      <c r="D4" s="29">
        <f>SUMIF('İ.Mak Priced Quotation'!$B$5:$B$149,A4,'İ.Mak Priced Quotation'!$AC$5:$AC$149)</f>
        <v/>
      </c>
      <c r="E4" s="29">
        <f>SUMIF('İ.Mak Priced Quotation'!$B$5:$B$149,A4,'İ.Mak Priced Quotation'!$AE$5:$AE$149)</f>
        <v/>
      </c>
      <c r="F4" s="29">
        <f>SUMIF('İ.Mak Priced Quotation'!$B$5:$B$149,A4,'İ.Mak Priced Quotation'!$AR$5:$AR$149)</f>
        <v/>
      </c>
      <c r="G4" s="29">
        <f>SUMIF('İ.Mak Priced Quotation'!$B$5:$B$149,A4,'İ.Mak Priced Quotation'!$AS$5:$AS$149)</f>
        <v/>
      </c>
      <c r="H4" s="29">
        <f>SUMIF('İ.Mak Priced Quotation'!$B$5:$B$149,A4,'İ.Mak Priced Quotation'!$AV$5:$AV$149)</f>
        <v/>
      </c>
      <c r="I4" s="29">
        <f>SUMIF('İ.Mak Priced Quotation'!$B$5:$B$149,A4,'İ.Mak Priced Quotation'!$AW$5:$AW$149)</f>
        <v/>
      </c>
    </row>
    <row r="5">
      <c r="A5" s="28" t="inlineStr">
        <is>
          <t>Helical Inline</t>
        </is>
      </c>
      <c r="B5" s="28">
        <f>COUNTIF('İ.Mak Priced Quotation'!$B$5:$B$149,A5)</f>
        <v/>
      </c>
      <c r="C5" s="28">
        <f>SUMIF('İ.Mak Priced Quotation'!$B$5:$B$149,A5,'İ.Mak Priced Quotation'!$J$5:$J$149)</f>
        <v/>
      </c>
      <c r="D5" s="29">
        <f>SUMIF('İ.Mak Priced Quotation'!$B$5:$B$149,A5,'İ.Mak Priced Quotation'!$AC$5:$AC$149)</f>
        <v/>
      </c>
      <c r="E5" s="29">
        <f>SUMIF('İ.Mak Priced Quotation'!$B$5:$B$149,A5,'İ.Mak Priced Quotation'!$AE$5:$AE$149)</f>
        <v/>
      </c>
      <c r="F5" s="29">
        <f>SUMIF('İ.Mak Priced Quotation'!$B$5:$B$149,A5,'İ.Mak Priced Quotation'!$AR$5:$AR$149)</f>
        <v/>
      </c>
      <c r="G5" s="29">
        <f>SUMIF('İ.Mak Priced Quotation'!$B$5:$B$149,A5,'İ.Mak Priced Quotation'!$AS$5:$AS$149)</f>
        <v/>
      </c>
      <c r="H5" s="29">
        <f>SUMIF('İ.Mak Priced Quotation'!$B$5:$B$149,A5,'İ.Mak Priced Quotation'!$AV$5:$AV$149)</f>
        <v/>
      </c>
      <c r="I5" s="29">
        <f>SUMIF('İ.Mak Priced Quotation'!$B$5:$B$149,A5,'İ.Mak Priced Quotation'!$AW$5:$AW$149)</f>
        <v/>
      </c>
    </row>
    <row r="6">
      <c r="A6" s="28" t="inlineStr">
        <is>
          <t>Helical Bevel</t>
        </is>
      </c>
      <c r="B6" s="28">
        <f>COUNTIF('İ.Mak Priced Quotation'!$B$5:$B$149,A6)</f>
        <v/>
      </c>
      <c r="C6" s="28">
        <f>SUMIF('İ.Mak Priced Quotation'!$B$5:$B$149,A6,'İ.Mak Priced Quotation'!$J$5:$J$149)</f>
        <v/>
      </c>
      <c r="D6" s="29">
        <f>SUMIF('İ.Mak Priced Quotation'!$B$5:$B$149,A6,'İ.Mak Priced Quotation'!$AC$5:$AC$149)</f>
        <v/>
      </c>
      <c r="E6" s="29">
        <f>SUMIF('İ.Mak Priced Quotation'!$B$5:$B$149,A6,'İ.Mak Priced Quotation'!$AE$5:$AE$149)</f>
        <v/>
      </c>
      <c r="F6" s="29">
        <f>SUMIF('İ.Mak Priced Quotation'!$B$5:$B$149,A6,'İ.Mak Priced Quotation'!$AR$5:$AR$149)</f>
        <v/>
      </c>
      <c r="G6" s="29">
        <f>SUMIF('İ.Mak Priced Quotation'!$B$5:$B$149,A6,'İ.Mak Priced Quotation'!$AS$5:$AS$149)</f>
        <v/>
      </c>
      <c r="H6" s="29">
        <f>SUMIF('İ.Mak Priced Quotation'!$B$5:$B$149,A6,'İ.Mak Priced Quotation'!$AV$5:$AV$149)</f>
        <v/>
      </c>
      <c r="I6" s="29">
        <f>SUMIF('İ.Mak Priced Quotation'!$B$5:$B$149,A6,'İ.Mak Priced Quotation'!$AW$5:$AW$149)</f>
        <v/>
      </c>
    </row>
    <row r="7">
      <c r="A7" s="28" t="inlineStr">
        <is>
          <t>Parallel Shaft</t>
        </is>
      </c>
      <c r="B7" s="28">
        <f>COUNTIF('İ.Mak Priced Quotation'!$B$5:$B$149,A7)</f>
        <v/>
      </c>
      <c r="C7" s="28">
        <f>SUMIF('İ.Mak Priced Quotation'!$B$5:$B$149,A7,'İ.Mak Priced Quotation'!$J$5:$J$149)</f>
        <v/>
      </c>
      <c r="D7" s="29">
        <f>SUMIF('İ.Mak Priced Quotation'!$B$5:$B$149,A7,'İ.Mak Priced Quotation'!$AC$5:$AC$149)</f>
        <v/>
      </c>
      <c r="E7" s="29">
        <f>SUMIF('İ.Mak Priced Quotation'!$B$5:$B$149,A7,'İ.Mak Priced Quotation'!$AE$5:$AE$149)</f>
        <v/>
      </c>
      <c r="F7" s="29">
        <f>SUMIF('İ.Mak Priced Quotation'!$B$5:$B$149,A7,'İ.Mak Priced Quotation'!$AR$5:$AR$149)</f>
        <v/>
      </c>
      <c r="G7" s="29">
        <f>SUMIF('İ.Mak Priced Quotation'!$B$5:$B$149,A7,'İ.Mak Priced Quotation'!$AS$5:$AS$149)</f>
        <v/>
      </c>
      <c r="H7" s="29">
        <f>SUMIF('İ.Mak Priced Quotation'!$B$5:$B$149,A7,'İ.Mak Priced Quotation'!$AV$5:$AV$149)</f>
        <v/>
      </c>
      <c r="I7" s="29">
        <f>SUMIF('İ.Mak Priced Quotation'!$B$5:$B$149,A7,'İ.Mak Priced Quotation'!$AW$5:$AW$149)</f>
        <v/>
      </c>
    </row>
    <row r="8">
      <c r="A8" s="28" t="inlineStr">
        <is>
          <t>Shaft Mounted Reducer</t>
        </is>
      </c>
      <c r="B8" s="28">
        <f>COUNTIF('İ.Mak Priced Quotation'!$B$5:$B$149,A8)</f>
        <v/>
      </c>
      <c r="C8" s="28">
        <f>SUMIF('İ.Mak Priced Quotation'!$B$5:$B$149,A8,'İ.Mak Priced Quotation'!$J$5:$J$149)</f>
        <v/>
      </c>
      <c r="D8" s="29">
        <f>SUMIF('İ.Mak Priced Quotation'!$B$5:$B$149,A8,'İ.Mak Priced Quotation'!$AC$5:$AC$149)</f>
        <v/>
      </c>
      <c r="E8" s="29">
        <f>SUMIF('İ.Mak Priced Quotation'!$B$5:$B$149,A8,'İ.Mak Priced Quotation'!$AE$5:$AE$149)</f>
        <v/>
      </c>
      <c r="F8" s="29">
        <f>SUMIF('İ.Mak Priced Quotation'!$B$5:$B$149,A8,'İ.Mak Priced Quotation'!$AR$5:$AR$149)</f>
        <v/>
      </c>
      <c r="G8" s="29">
        <f>SUMIF('İ.Mak Priced Quotation'!$B$5:$B$149,A8,'İ.Mak Priced Quotation'!$AS$5:$AS$149)</f>
        <v/>
      </c>
      <c r="H8" s="29">
        <f>SUMIF('İ.Mak Priced Quotation'!$B$5:$B$149,A8,'İ.Mak Priced Quotation'!$AV$5:$AV$149)</f>
        <v/>
      </c>
      <c r="I8" s="29">
        <f>SUMIF('İ.Mak Priced Quotation'!$B$5:$B$149,A8,'İ.Mak Priced Quotation'!$AW$5:$AW$149)</f>
        <v/>
      </c>
    </row>
    <row r="9">
      <c r="A9" s="30" t="inlineStr">
        <is>
          <t>TOTAL</t>
        </is>
      </c>
      <c r="B9" s="30">
        <f>SUM(B4:B8)</f>
        <v/>
      </c>
      <c r="C9" s="30">
        <f>SUM(C4:C8)</f>
        <v/>
      </c>
      <c r="D9" s="31">
        <f>SUM(D4:D8)</f>
        <v/>
      </c>
      <c r="E9" s="31">
        <f>SUM(E4:E8)</f>
        <v/>
      </c>
      <c r="F9" s="31">
        <f>SUM(F4:F8)</f>
        <v/>
      </c>
      <c r="G9" s="31">
        <f>SUM(G4:G8)</f>
        <v/>
      </c>
      <c r="H9" s="31">
        <f>SUM(H4:H8)</f>
        <v/>
      </c>
      <c r="I9" s="31">
        <f>SUM(I4:I8)</f>
        <v/>
      </c>
    </row>
    <row r="11">
      <c r="A11" s="2" t="inlineStr">
        <is>
          <t>Discount: 35% (cell L2 on the quotation sheet). Options = output flange, torque arm, output shaft, shrink disc, backstop as priced per line; 'incl. Options' adds all of them.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0" customWidth="1" min="1" max="1"/>
    <col width="140" customWidth="1" min="2" max="2"/>
  </cols>
  <sheetData>
    <row r="1">
      <c r="A1" s="32" t="inlineStr">
        <is>
          <t>Pricing basis</t>
        </is>
      </c>
      <c r="B1" s="33" t="inlineStr"/>
    </row>
    <row r="2">
      <c r="A2" s="34" t="inlineStr">
        <is>
          <t>Source</t>
        </is>
      </c>
      <c r="B2" s="33" t="inlineStr">
        <is>
          <t>İ.Mak Gearbox Standard Series Euro Price List, 26.01.2026 (67 pp.). Page numbers quoted are the printed page numbers (PDF page − 1).</t>
        </is>
      </c>
    </row>
    <row r="3">
      <c r="A3" s="34" t="inlineStr">
        <is>
          <t>Discount</t>
        </is>
      </c>
      <c r="B3" s="33" t="inlineStr">
        <is>
          <t>35% off list price, applied through cell L2 on the quotation sheet: Net = ROUND(List × (1 − 35%), 2); Total = Qty × Net.</t>
        </is>
      </c>
    </row>
    <row r="4">
      <c r="A4" s="34" t="inlineStr">
        <is>
          <t>IEC input</t>
        </is>
      </c>
      <c r="B4" s="33" t="inlineStr">
        <is>
          <t>Every helical unit is priced as the IEC B5/B14 (PAM) flanged reducer, matched on the exact type AND IEC frame in the price list: IRP (p.15-19), IRKP (p.31-34), YPP (p.45-48). Worm units: S/SP (SP = IEC flange, same price as S, p.55) and IRS-IRSP (p.51). The script checked that every designation + IEC frame exists; all 145 lines were found.</t>
        </is>
      </c>
    </row>
    <row r="5">
      <c r="A5" s="34" t="inlineStr">
        <is>
          <t>Included in unit price</t>
        </is>
      </c>
      <c r="B5" s="33" t="inlineStr">
        <is>
          <t>IR: IRAP (foot) or IRFP (flange) column, solid output shaft standard. IRK hollow + torque-arm lines: IRKP + torque arm (RFQ says "include torque arm"). IRK foot + solid shaft lines: IRKP + single output shaft (foot). YP hollow lines: YPP only (no YP torque arm in the price list). YP foot + solid shaft lines: YPP + output shaft (foot). Worm: gearbox only; the RFQ asks for flange, torque arm and shafts to be quoted separately, so they are in the options column.</t>
        </is>
      </c>
    </row>
    <row r="6">
      <c r="A6" s="34" t="inlineStr">
        <is>
          <t>Worm 130/150 – cast iron</t>
        </is>
      </c>
      <c r="B6" s="33" t="inlineStr">
        <is>
          <t>The price list names the S series "ALUMINIUM SERIES WORM GEAR UNITS" (p.55), so S130/S150 cannot meet the RFQ cast-iron requirement. GB-046…049 now use cast-iron İRSA 127 (IRS-IRSP 127, p.51) with i=52 (for 1:50) and i=65 (for 1:60); its rated torque is at least that of S130/S150 at the same ratio (catalogue p.63). Aluminium S/SP prices are shown in the notes for reference.</t>
        </is>
      </c>
    </row>
    <row r="7">
      <c r="A7" s="34" t="inlineStr">
        <is>
          <t>Option prices</t>
        </is>
      </c>
      <c r="B7" s="33" t="inlineStr">
        <is>
          <t>Each option has list and net (−35%) columns, priced per unit, then totals × qty. Worm S/SP: output flange, torque arm and single output shaft (p.55). İRS 127: flange-mounted İRSF version (+€60 over İRSA), torque arm €45, output shaft €34 (p.51). IRK hollow lines: shrink disc (p.1); the torque arm is already in the unit price. IRK and YP foot/solid-shaft lines: output flange = extra cost of the flange-mounted IEC version with its flange-side output shaft, minus the foot version (pp.30-34, 44-48). YP hollow lines: shrink disc (p.1). İRNX: backstop (p.61). İR helical inline: no RFQ options.</t>
        </is>
      </c>
    </row>
    <row r="8">
      <c r="A8" s="34" t="inlineStr">
        <is>
          <t>Not in price list – ask İ.Mak</t>
        </is>
      </c>
      <c r="B8" s="33" t="inlineStr">
        <is>
          <t>YP torque arm (GB-121…130, required by RFQ) · İRNX torque arm, input pulley and belts · İRNX IEC motor adaptor (does not exist; belt drive only) · İRNX 01 backstop (shown as "-" = not available) · helical gearmotor versions are priced by kW/rpm on pp.3-13 and are not included here.</t>
        </is>
      </c>
    </row>
    <row r="9">
      <c r="A9" s="34" t="inlineStr">
        <is>
          <t>Special options (p.1)</t>
        </is>
      </c>
      <c r="B9" s="33" t="inlineStr">
        <is>
          <t>Special hollow shaft +10% (e.g. Ø45 bore on İRS 127 for NMRV130) · synthetic oil −40 °C €30/L · food-grade oil €25/L · epoxy paint +2% · ATEX +15%.</t>
        </is>
      </c>
    </row>
    <row r="10">
      <c r="A10" s="34" t="inlineStr">
        <is>
          <t>Technical selection</t>
        </is>
      </c>
      <c r="B10" s="33" t="inlineStr">
        <is>
          <t>Unchanged from the previous revision (see catalogue references per line): smallest housing with Sf ≥ 1.5 at the motor kW with a 4-pole motor, ratio within ±5% where possible (±10% maximum).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2026-09-24T13:18:18Z</dcterms:created>
  <dcterms:modified xsi:type="dcterms:W3CDTF">2026-09-24T13:18:19Z</dcterms:modified>
</cp:coreProperties>
</file>