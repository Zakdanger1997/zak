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.Mak Priced Quotation" sheetId="1" state="visible" r:id="rId1"/>
    <sheet name="Summary" sheetId="2" state="visible" r:id="rId2"/>
    <sheet name="Basis &amp; Assumptions" sheetId="3" state="visible" r:id="rId3"/>
  </sheets>
  <definedNames>
    <definedName name="_xlnm._FilterDatabase" localSheetId="0" hidden="1">'İ.Mak Priced Quotation'!$A$4:$AF$149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€#,##0.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Arial"/>
      <b val="1"/>
      <color rgb="000000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0000FF"/>
      <sz val="9"/>
    </font>
    <font>
      <name val="Arial"/>
      <b val="1"/>
      <sz val="13"/>
    </font>
    <font>
      <name val="Arial"/>
      <b val="1"/>
      <color rgb="00FFFFFF"/>
      <sz val="10"/>
    </font>
    <font>
      <name val="Arial"/>
      <b val="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FFF00"/>
      </patternFill>
    </fill>
    <fill>
      <patternFill patternType="solid">
        <fgColor rgb="001F6F8B"/>
      </patternFill>
    </fill>
    <fill>
      <patternFill patternType="solid">
        <fgColor rgb="007A4E00"/>
      </patternFill>
    </fill>
    <fill>
      <patternFill patternType="solid">
        <fgColor rgb="00EAF4F7"/>
      </patternFill>
    </fill>
    <fill>
      <patternFill patternType="solid">
        <fgColor rgb="00FFF4E0"/>
      </patternFill>
    </fill>
    <fill>
      <patternFill patternType="solid">
        <fgColor rgb="00FDE2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9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7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164" fontId="6" fillId="6" borderId="1" applyAlignment="1" pivotButton="0" quotePrefix="0" xfId="0">
      <alignment vertical="top"/>
    </xf>
    <xf numFmtId="0" fontId="7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4" fontId="8" fillId="7" borderId="1" applyAlignment="1" pivotButton="0" quotePrefix="0" xfId="0">
      <alignment vertical="top"/>
    </xf>
    <xf numFmtId="4" fontId="7" fillId="7" borderId="1" applyAlignment="1" pivotButton="0" quotePrefix="0" xfId="0">
      <alignment vertical="top"/>
    </xf>
    <xf numFmtId="4" fontId="6" fillId="7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  <xf numFmtId="0" fontId="6" fillId="8" borderId="1" applyAlignment="1" pivotButton="0" quotePrefix="0" xfId="0">
      <alignment vertical="top" wrapText="1"/>
    </xf>
    <xf numFmtId="0" fontId="3" fillId="0" borderId="0" pivotButton="0" quotePrefix="0" xfId="0"/>
    <xf numFmtId="165" fontId="3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12" fillId="0" borderId="1" pivotButton="0" quotePrefix="0" xfId="0"/>
    <xf numFmtId="165" fontId="12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0" fontId="9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L2" authorId="0" shapeId="0">
      <text>
        <t>Discount requested by user: 35% off the 26.01.2026 list price. Change here and every net price updates.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9" customWidth="1" min="4" max="4"/>
    <col width="7" customWidth="1" min="5" max="5"/>
    <col width="8" customWidth="1" min="6" max="6"/>
    <col width="12" customWidth="1" min="7" max="7"/>
    <col width="13" customWidth="1" min="8" max="8"/>
    <col width="13" customWidth="1" min="9" max="9"/>
    <col width="5" customWidth="1" min="10" max="10"/>
    <col width="15" customWidth="1" min="11" max="11"/>
    <col width="32" customWidth="1" min="12" max="12"/>
    <col width="26" customWidth="1" min="13" max="13"/>
    <col width="8" customWidth="1" min="14" max="14"/>
    <col width="8" customWidth="1" min="15" max="15"/>
    <col width="8" customWidth="1" min="16" max="16"/>
    <col width="13" customWidth="1" min="17" max="17"/>
    <col width="18" customWidth="1" min="18" max="18"/>
    <col width="20" customWidth="1" min="19" max="19"/>
    <col width="18" customWidth="1" min="20" max="20"/>
    <col width="30" customWidth="1" min="21" max="21"/>
    <col width="22" customWidth="1" min="22" max="22"/>
    <col width="55" customWidth="1" min="23" max="23"/>
    <col width="30" customWidth="1" min="24" max="24"/>
    <col width="20" customWidth="1" min="25" max="25"/>
    <col width="10" customWidth="1" min="26" max="26"/>
    <col width="10" customWidth="1" min="27" max="27"/>
    <col width="30" customWidth="1" min="28" max="28"/>
    <col width="11" customWidth="1" min="29" max="29"/>
    <col width="12" customWidth="1" min="30" max="30"/>
    <col width="45" customWidth="1" min="31" max="31"/>
    <col width="10" customWidth="1" min="32" max="32"/>
  </cols>
  <sheetData>
    <row r="1">
      <c r="A1" s="1" t="inlineStr">
        <is>
          <t>İ.MAK EQUIVALENT SELECTION &amp; PRICING – RFQ GEARBOXES &amp; SPEED REDUCERS</t>
        </is>
      </c>
    </row>
    <row r="2">
      <c r="A2" s="2" t="inlineStr">
        <is>
          <t>Prices: İ.Mak Gearbox Standard Series Euro Price List dated 26.01.2026 (EXW, €). Every unit is priced as the IEC-input (PAM flange) reducer except İRNX, which has no IEC version. Page numbers are the printed price-list pages.</t>
        </is>
      </c>
      <c r="K2" s="3" t="inlineStr">
        <is>
          <t>Discount on list price:</t>
        </is>
      </c>
      <c r="L2" s="4" t="n">
        <v>0.35</v>
      </c>
    </row>
    <row r="4" ht="45" customHeight="1">
      <c r="A4" s="5" t="inlineStr">
        <is>
          <t>Item No.</t>
        </is>
      </c>
      <c r="B4" s="5" t="inlineStr">
        <is>
          <t>Category</t>
        </is>
      </c>
      <c r="C4" s="5" t="inlineStr">
        <is>
          <t>RFQ Series / Type</t>
        </is>
      </c>
      <c r="D4" s="5" t="inlineStr">
        <is>
          <t>RFQ Size</t>
        </is>
      </c>
      <c r="E4" s="5" t="inlineStr">
        <is>
          <t>Motor Power (kW)</t>
        </is>
      </c>
      <c r="F4" s="5" t="inlineStr">
        <is>
          <t>RFQ Reduction Ratio</t>
        </is>
      </c>
      <c r="G4" s="5" t="inlineStr">
        <is>
          <t>Mounting</t>
        </is>
      </c>
      <c r="H4" s="5" t="inlineStr">
        <is>
          <t>Output</t>
        </is>
      </c>
      <c r="I4" s="5" t="inlineStr">
        <is>
          <t>Input</t>
        </is>
      </c>
      <c r="J4" s="5" t="inlineStr">
        <is>
          <t>Qty</t>
        </is>
      </c>
      <c r="K4" s="6" t="inlineStr">
        <is>
          <t>İ.Mak Series</t>
        </is>
      </c>
      <c r="L4" s="6" t="inlineStr">
        <is>
          <t>İ.Mak Equivalent – Reducer (IEC input)</t>
        </is>
      </c>
      <c r="M4" s="6" t="inlineStr">
        <is>
          <t>İ.Mak Equivalent – Complete Gearmotor</t>
        </is>
      </c>
      <c r="N4" s="6" t="inlineStr">
        <is>
          <t>Catalogue Ratio i</t>
        </is>
      </c>
      <c r="O4" s="6" t="inlineStr">
        <is>
          <t>n2 @1400 rpm (rpm)</t>
        </is>
      </c>
      <c r="P4" s="6" t="inlineStr">
        <is>
          <t>Rated M2 (Nm)</t>
        </is>
      </c>
      <c r="Q4" s="6" t="inlineStr">
        <is>
          <t>Sf / Capacity</t>
        </is>
      </c>
      <c r="R4" s="6" t="inlineStr">
        <is>
          <t>Rating Basis</t>
        </is>
      </c>
      <c r="S4" s="6" t="inlineStr">
        <is>
          <t>Output Detail</t>
        </is>
      </c>
      <c r="T4" s="6" t="inlineStr">
        <is>
          <t>IEC Input Flange</t>
        </is>
      </c>
      <c r="U4" s="6" t="inlineStr">
        <is>
          <t>Options (catalogue codes)</t>
        </is>
      </c>
      <c r="V4" s="6" t="inlineStr">
        <is>
          <t>Catalogue Reference (printed page)</t>
        </is>
      </c>
      <c r="W4" s="6" t="inlineStr">
        <is>
          <t>Selection Notes / Deviations</t>
        </is>
      </c>
      <c r="X4" s="7" t="inlineStr">
        <is>
          <t>Price-List Designation (as listed)</t>
        </is>
      </c>
      <c r="Y4" s="7" t="inlineStr">
        <is>
          <t>Price-List Page (26.01.2026)</t>
        </is>
      </c>
      <c r="Z4" s="7" t="inlineStr">
        <is>
          <t>Exists in Price List?</t>
        </is>
      </c>
      <c r="AA4" s="7" t="inlineStr">
        <is>
          <t>List Price (€/unit)</t>
        </is>
      </c>
      <c r="AB4" s="7" t="inlineStr">
        <is>
          <t>What the Unit Price Includes</t>
        </is>
      </c>
      <c r="AC4" s="7" t="inlineStr">
        <is>
          <t>Unit Net Price (€) after discount</t>
        </is>
      </c>
      <c r="AD4" s="7" t="inlineStr">
        <is>
          <t>Total Net Price (€)</t>
        </is>
      </c>
      <c r="AE4" s="7" t="inlineStr">
        <is>
          <t>Options Priced Separately (list → net)</t>
        </is>
      </c>
      <c r="AF4" s="7" t="inlineStr">
        <is>
          <t>Lead Time</t>
        </is>
      </c>
    </row>
    <row r="5">
      <c r="A5" s="8" t="inlineStr">
        <is>
          <t>GB-001</t>
        </is>
      </c>
      <c r="B5" s="8" t="inlineStr">
        <is>
          <t>Worm Gearbox</t>
        </is>
      </c>
      <c r="C5" s="8" t="inlineStr">
        <is>
          <t>NMRV</t>
        </is>
      </c>
      <c r="D5" s="8" t="inlineStr">
        <is>
          <t>040</t>
        </is>
      </c>
      <c r="E5" s="8" t="n"/>
      <c r="F5" s="8" t="inlineStr">
        <is>
          <t>1:10</t>
        </is>
      </c>
      <c r="G5" s="8" t="inlineStr">
        <is>
          <t>Universal</t>
        </is>
      </c>
      <c r="H5" s="8" t="inlineStr">
        <is>
          <t>Hollow shaft, keyed</t>
        </is>
      </c>
      <c r="I5" s="8" t="inlineStr">
        <is>
          <t>IEC motor adaptor/input</t>
        </is>
      </c>
      <c r="J5" s="8" t="n">
        <v>6</v>
      </c>
      <c r="K5" s="9" t="inlineStr">
        <is>
          <t>S series (worm)</t>
        </is>
      </c>
      <c r="L5" s="10" t="inlineStr">
        <is>
          <t>SP 40  i=10  (IEC B14/B5 input flange, hollow output)</t>
        </is>
      </c>
      <c r="M5" s="11" t="inlineStr">
        <is>
          <t>— (motor power not specified in RFQ)</t>
        </is>
      </c>
      <c r="N5" s="12" t="n">
        <v>10</v>
      </c>
      <c r="O5" s="9" t="n">
        <v>140</v>
      </c>
      <c r="P5" s="9" t="n">
        <v>37</v>
      </c>
      <c r="Q5" s="11" t="inlineStr">
        <is>
          <t>P1 max 0.66 kW at Sf=1</t>
        </is>
      </c>
      <c r="R5" s="11" t="inlineStr">
        <is>
          <t>Reducer table n1=1400 rpm, Sf=1 (η 82%)</t>
        </is>
      </c>
      <c r="S5" s="11" t="inlineStr">
        <is>
          <t>Hollow shaft Ø18 H7, keyed</t>
        </is>
      </c>
      <c r="T5" s="11" t="inlineStr">
        <is>
          <t>IEC 63, 71 (B14 or B5)</t>
        </is>
      </c>
      <c r="U5" s="11" t="inlineStr">
        <is>
          <t>FR/FL output flange; TR/TL torque arm; SR/SL/SD output shaft; oil 211 synthetic VG220 if required</t>
        </is>
      </c>
      <c r="V5" s="11" t="inlineStr">
        <is>
          <t>S-IRS-IRSD 2025: ratings p.61; dims p.73-74</t>
        </is>
      </c>
      <c r="W5" s="11" t="inlineStr">
        <is>
          <t>Direct size-for-size NMRV equivalent (same centre distance and hollow bore). Ratio is a standard catalogue ratio.</t>
        </is>
      </c>
      <c r="X5" s="13" t="inlineStr">
        <is>
          <t>S/SP 40</t>
        </is>
      </c>
      <c r="Y5" s="14" t="inlineStr">
        <is>
          <t>p.55 (S series aluminium worm gear units)</t>
        </is>
      </c>
      <c r="Z5" s="14" t="inlineStr">
        <is>
          <t>YES</t>
        </is>
      </c>
      <c r="AA5" s="15" t="n">
        <v>105</v>
      </c>
      <c r="AB5" s="14" t="inlineStr">
        <is>
          <t>Gearbox with IEC input flange (SP) and hollow output shaft</t>
        </is>
      </c>
      <c r="AC5" s="16">
        <f>ROUND(AA5*(1-$L$2),2)</f>
        <v/>
      </c>
      <c r="AD5" s="17">
        <f>J5*AC5</f>
        <v/>
      </c>
      <c r="AE5" s="14" t="inlineStr">
        <is>
          <t>Output flange €7.00 → net €4.55; single output shaft €8.00 → €5.20; torque arm €9.00 → €5.85</t>
        </is>
      </c>
      <c r="AF5" s="18" t="n"/>
    </row>
    <row r="6">
      <c r="A6" s="8" t="inlineStr">
        <is>
          <t>GB-002</t>
        </is>
      </c>
      <c r="B6" s="8" t="inlineStr">
        <is>
          <t>Worm Gearbox</t>
        </is>
      </c>
      <c r="C6" s="8" t="inlineStr">
        <is>
          <t>NMRV</t>
        </is>
      </c>
      <c r="D6" s="8" t="inlineStr">
        <is>
          <t>040</t>
        </is>
      </c>
      <c r="E6" s="8" t="n"/>
      <c r="F6" s="8" t="inlineStr">
        <is>
          <t>1:15</t>
        </is>
      </c>
      <c r="G6" s="8" t="inlineStr">
        <is>
          <t>Universal</t>
        </is>
      </c>
      <c r="H6" s="8" t="inlineStr">
        <is>
          <t>Hollow shaft, keyed</t>
        </is>
      </c>
      <c r="I6" s="8" t="inlineStr">
        <is>
          <t>IEC motor adaptor/input</t>
        </is>
      </c>
      <c r="J6" s="8" t="n">
        <v>5</v>
      </c>
      <c r="K6" s="9" t="inlineStr">
        <is>
          <t>S series (worm)</t>
        </is>
      </c>
      <c r="L6" s="10" t="inlineStr">
        <is>
          <t>SP 40  i=15  (IEC B14/B5 input flange, hollow output)</t>
        </is>
      </c>
      <c r="M6" s="11" t="inlineStr">
        <is>
          <t>— (motor power not specified in RFQ)</t>
        </is>
      </c>
      <c r="N6" s="12" t="n">
        <v>15</v>
      </c>
      <c r="O6" s="9" t="n">
        <v>93</v>
      </c>
      <c r="P6" s="9" t="n">
        <v>37</v>
      </c>
      <c r="Q6" s="11" t="inlineStr">
        <is>
          <t>P1 max 0.46 kW at Sf=1</t>
        </is>
      </c>
      <c r="R6" s="11" t="inlineStr">
        <is>
          <t>Reducer table n1=1400 rpm, Sf=1 (η 79%)</t>
        </is>
      </c>
      <c r="S6" s="11" t="inlineStr">
        <is>
          <t>Hollow shaft Ø18 H7, keyed</t>
        </is>
      </c>
      <c r="T6" s="11" t="inlineStr">
        <is>
          <t>IEC 63, 71 (B14 or B5)</t>
        </is>
      </c>
      <c r="U6" s="11" t="inlineStr">
        <is>
          <t>FR/FL output flange; TR/TL torque arm; SR/SL/SD output shaft; oil 211 synthetic VG220 if required</t>
        </is>
      </c>
      <c r="V6" s="11" t="inlineStr">
        <is>
          <t>S-IRS-IRSD 2025: ratings p.61; dims p.73-74</t>
        </is>
      </c>
      <c r="W6" s="11" t="inlineStr">
        <is>
          <t>Direct size-for-size NMRV equivalent (same centre distance and hollow bore). Ratio is a standard catalogue ratio.</t>
        </is>
      </c>
      <c r="X6" s="13" t="inlineStr">
        <is>
          <t>S/SP 40</t>
        </is>
      </c>
      <c r="Y6" s="14" t="inlineStr">
        <is>
          <t>p.55 (S series aluminium worm gear units)</t>
        </is>
      </c>
      <c r="Z6" s="14" t="inlineStr">
        <is>
          <t>YES</t>
        </is>
      </c>
      <c r="AA6" s="15" t="n">
        <v>105</v>
      </c>
      <c r="AB6" s="14" t="inlineStr">
        <is>
          <t>Gearbox with IEC input flange (SP) and hollow output shaft</t>
        </is>
      </c>
      <c r="AC6" s="16">
        <f>ROUND(AA6*(1-$L$2),2)</f>
        <v/>
      </c>
      <c r="AD6" s="17">
        <f>J6*AC6</f>
        <v/>
      </c>
      <c r="AE6" s="14" t="inlineStr">
        <is>
          <t>Output flange €7.00 → net €4.55; single output shaft €8.00 → €5.20; torque arm €9.00 → €5.85</t>
        </is>
      </c>
      <c r="AF6" s="18" t="n"/>
    </row>
    <row r="7">
      <c r="A7" s="8" t="inlineStr">
        <is>
          <t>GB-003</t>
        </is>
      </c>
      <c r="B7" s="8" t="inlineStr">
        <is>
          <t>Worm Gearbox</t>
        </is>
      </c>
      <c r="C7" s="8" t="inlineStr">
        <is>
          <t>NMRV</t>
        </is>
      </c>
      <c r="D7" s="8" t="inlineStr">
        <is>
          <t>040</t>
        </is>
      </c>
      <c r="E7" s="8" t="n"/>
      <c r="F7" s="8" t="inlineStr">
        <is>
          <t>1:20</t>
        </is>
      </c>
      <c r="G7" s="8" t="inlineStr">
        <is>
          <t>Universal</t>
        </is>
      </c>
      <c r="H7" s="8" t="inlineStr">
        <is>
          <t>Hollow shaft, keyed</t>
        </is>
      </c>
      <c r="I7" s="8" t="inlineStr">
        <is>
          <t>IEC motor adaptor/input</t>
        </is>
      </c>
      <c r="J7" s="8" t="n">
        <v>6</v>
      </c>
      <c r="K7" s="9" t="inlineStr">
        <is>
          <t>S series (worm)</t>
        </is>
      </c>
      <c r="L7" s="10" t="inlineStr">
        <is>
          <t>SP 40  i=20  (IEC B14/B5 input flange, hollow output)</t>
        </is>
      </c>
      <c r="M7" s="11" t="inlineStr">
        <is>
          <t>— (motor power not specified in RFQ)</t>
        </is>
      </c>
      <c r="N7" s="12" t="n">
        <v>20</v>
      </c>
      <c r="O7" s="9" t="n">
        <v>70</v>
      </c>
      <c r="P7" s="9" t="n">
        <v>35</v>
      </c>
      <c r="Q7" s="11" t="inlineStr">
        <is>
          <t>P1 max 0.35 kW at Sf=1</t>
        </is>
      </c>
      <c r="R7" s="11" t="inlineStr">
        <is>
          <t>Reducer table n1=1400 rpm, Sf=1 (η 74%)</t>
        </is>
      </c>
      <c r="S7" s="11" t="inlineStr">
        <is>
          <t>Hollow shaft Ø18 H7, keyed</t>
        </is>
      </c>
      <c r="T7" s="11" t="inlineStr">
        <is>
          <t>IEC 63, 71 (B14 or B5)</t>
        </is>
      </c>
      <c r="U7" s="11" t="inlineStr">
        <is>
          <t>FR/FL output flange; TR/TL torque arm; SR/SL/SD output shaft; oil 211 synthetic VG220 if required</t>
        </is>
      </c>
      <c r="V7" s="11" t="inlineStr">
        <is>
          <t>S-IRS-IRSD 2025: ratings p.61; dims p.73-74</t>
        </is>
      </c>
      <c r="W7" s="11" t="inlineStr">
        <is>
          <t>Direct size-for-size NMRV equivalent (same centre distance and hollow bore). Ratio is a standard catalogue ratio.</t>
        </is>
      </c>
      <c r="X7" s="13" t="inlineStr">
        <is>
          <t>S/SP 40</t>
        </is>
      </c>
      <c r="Y7" s="14" t="inlineStr">
        <is>
          <t>p.55 (S series aluminium worm gear units)</t>
        </is>
      </c>
      <c r="Z7" s="14" t="inlineStr">
        <is>
          <t>YES</t>
        </is>
      </c>
      <c r="AA7" s="15" t="n">
        <v>105</v>
      </c>
      <c r="AB7" s="14" t="inlineStr">
        <is>
          <t>Gearbox with IEC input flange (SP) and hollow output shaft</t>
        </is>
      </c>
      <c r="AC7" s="16">
        <f>ROUND(AA7*(1-$L$2),2)</f>
        <v/>
      </c>
      <c r="AD7" s="17">
        <f>J7*AC7</f>
        <v/>
      </c>
      <c r="AE7" s="14" t="inlineStr">
        <is>
          <t>Output flange €7.00 → net €4.55; single output shaft €8.00 → €5.20; torque arm €9.00 → €5.85</t>
        </is>
      </c>
      <c r="AF7" s="18" t="n"/>
    </row>
    <row r="8">
      <c r="A8" s="8" t="inlineStr">
        <is>
          <t>GB-004</t>
        </is>
      </c>
      <c r="B8" s="8" t="inlineStr">
        <is>
          <t>Worm Gearbox</t>
        </is>
      </c>
      <c r="C8" s="8" t="inlineStr">
        <is>
          <t>NMRV</t>
        </is>
      </c>
      <c r="D8" s="8" t="inlineStr">
        <is>
          <t>040</t>
        </is>
      </c>
      <c r="E8" s="8" t="n"/>
      <c r="F8" s="8" t="inlineStr">
        <is>
          <t>1:25</t>
        </is>
      </c>
      <c r="G8" s="8" t="inlineStr">
        <is>
          <t>Universal</t>
        </is>
      </c>
      <c r="H8" s="8" t="inlineStr">
        <is>
          <t>Hollow shaft, keyed</t>
        </is>
      </c>
      <c r="I8" s="8" t="inlineStr">
        <is>
          <t>IEC motor adaptor/input</t>
        </is>
      </c>
      <c r="J8" s="8" t="n">
        <v>4</v>
      </c>
      <c r="K8" s="9" t="inlineStr">
        <is>
          <t>S series (worm)</t>
        </is>
      </c>
      <c r="L8" s="10" t="inlineStr">
        <is>
          <t>SP 40  i=25  (IEC B14/B5 input flange, hollow output)</t>
        </is>
      </c>
      <c r="M8" s="11" t="inlineStr">
        <is>
          <t>— (motor power not specified in RFQ)</t>
        </is>
      </c>
      <c r="N8" s="12" t="n">
        <v>25</v>
      </c>
      <c r="O8" s="9" t="n">
        <v>56</v>
      </c>
      <c r="P8" s="9" t="n">
        <v>36</v>
      </c>
      <c r="Q8" s="11" t="inlineStr">
        <is>
          <t>P1 max 0.3 kW at Sf=1</t>
        </is>
      </c>
      <c r="R8" s="11" t="inlineStr">
        <is>
          <t>Reducer table n1=1400 rpm, Sf=1 (η 71%)</t>
        </is>
      </c>
      <c r="S8" s="11" t="inlineStr">
        <is>
          <t>Hollow shaft Ø18 H7, keyed</t>
        </is>
      </c>
      <c r="T8" s="11" t="inlineStr">
        <is>
          <t>IEC 63, 71 (B14 or B5)</t>
        </is>
      </c>
      <c r="U8" s="11" t="inlineStr">
        <is>
          <t>FR/FL output flange; TR/TL torque arm; SR/SL/SD output shaft; oil 211 synthetic VG220 if required</t>
        </is>
      </c>
      <c r="V8" s="11" t="inlineStr">
        <is>
          <t>S-IRS-IRSD 2025: ratings p.61; dims p.73-74</t>
        </is>
      </c>
      <c r="W8" s="11" t="inlineStr">
        <is>
          <t>Direct size-for-size NMRV equivalent (same centre distance and hollow bore). Ratio is a standard catalogue ratio.</t>
        </is>
      </c>
      <c r="X8" s="13" t="inlineStr">
        <is>
          <t>S/SP 40</t>
        </is>
      </c>
      <c r="Y8" s="14" t="inlineStr">
        <is>
          <t>p.55 (S series aluminium worm gear units)</t>
        </is>
      </c>
      <c r="Z8" s="14" t="inlineStr">
        <is>
          <t>YES</t>
        </is>
      </c>
      <c r="AA8" s="15" t="n">
        <v>105</v>
      </c>
      <c r="AB8" s="14" t="inlineStr">
        <is>
          <t>Gearbox with IEC input flange (SP) and hollow output shaft</t>
        </is>
      </c>
      <c r="AC8" s="16">
        <f>ROUND(AA8*(1-$L$2),2)</f>
        <v/>
      </c>
      <c r="AD8" s="17">
        <f>J8*AC8</f>
        <v/>
      </c>
      <c r="AE8" s="14" t="inlineStr">
        <is>
          <t>Output flange €7.00 → net €4.55; single output shaft €8.00 → €5.20; torque arm €9.00 → €5.85</t>
        </is>
      </c>
      <c r="AF8" s="18" t="n"/>
    </row>
    <row r="9">
      <c r="A9" s="8" t="inlineStr">
        <is>
          <t>GB-005</t>
        </is>
      </c>
      <c r="B9" s="8" t="inlineStr">
        <is>
          <t>Worm Gearbox</t>
        </is>
      </c>
      <c r="C9" s="8" t="inlineStr">
        <is>
          <t>NMRV</t>
        </is>
      </c>
      <c r="D9" s="8" t="inlineStr">
        <is>
          <t>040</t>
        </is>
      </c>
      <c r="E9" s="8" t="n"/>
      <c r="F9" s="8" t="inlineStr">
        <is>
          <t>1:30</t>
        </is>
      </c>
      <c r="G9" s="8" t="inlineStr">
        <is>
          <t>Universal</t>
        </is>
      </c>
      <c r="H9" s="8" t="inlineStr">
        <is>
          <t>Hollow shaft, keyed</t>
        </is>
      </c>
      <c r="I9" s="8" t="inlineStr">
        <is>
          <t>IEC motor adaptor/input</t>
        </is>
      </c>
      <c r="J9" s="8" t="n">
        <v>5</v>
      </c>
      <c r="K9" s="9" t="inlineStr">
        <is>
          <t>S series (worm)</t>
        </is>
      </c>
      <c r="L9" s="10" t="inlineStr">
        <is>
          <t>SP 40  i=30  (IEC B14/B5 input flange, hollow output)</t>
        </is>
      </c>
      <c r="M9" s="11" t="inlineStr">
        <is>
          <t>— (motor power not specified in RFQ)</t>
        </is>
      </c>
      <c r="N9" s="12" t="n">
        <v>30</v>
      </c>
      <c r="O9" s="9" t="n">
        <v>47</v>
      </c>
      <c r="P9" s="9" t="n">
        <v>42</v>
      </c>
      <c r="Q9" s="11" t="inlineStr">
        <is>
          <t>P1 max 0.3 kW at Sf=1</t>
        </is>
      </c>
      <c r="R9" s="11" t="inlineStr">
        <is>
          <t>Reducer table n1=1400 rpm, Sf=1 (η 68%)</t>
        </is>
      </c>
      <c r="S9" s="11" t="inlineStr">
        <is>
          <t>Hollow shaft Ø18 H7, keyed</t>
        </is>
      </c>
      <c r="T9" s="11" t="inlineStr">
        <is>
          <t>IEC 63, 71 (B14 or B5)</t>
        </is>
      </c>
      <c r="U9" s="11" t="inlineStr">
        <is>
          <t>FR/FL output flange; TR/TL torque arm; SR/SL/SD output shaft; oil 211 synthetic VG220 if required</t>
        </is>
      </c>
      <c r="V9" s="11" t="inlineStr">
        <is>
          <t>S-IRS-IRSD 2025: ratings p.61; dims p.73-74</t>
        </is>
      </c>
      <c r="W9" s="11" t="inlineStr">
        <is>
          <t>Direct size-for-size NMRV equivalent (same centre distance and hollow bore). Ratio is a standard catalogue ratio.</t>
        </is>
      </c>
      <c r="X9" s="13" t="inlineStr">
        <is>
          <t>S/SP 40</t>
        </is>
      </c>
      <c r="Y9" s="14" t="inlineStr">
        <is>
          <t>p.55 (S series aluminium worm gear units)</t>
        </is>
      </c>
      <c r="Z9" s="14" t="inlineStr">
        <is>
          <t>YES</t>
        </is>
      </c>
      <c r="AA9" s="15" t="n">
        <v>105</v>
      </c>
      <c r="AB9" s="14" t="inlineStr">
        <is>
          <t>Gearbox with IEC input flange (SP) and hollow output shaft</t>
        </is>
      </c>
      <c r="AC9" s="16">
        <f>ROUND(AA9*(1-$L$2),2)</f>
        <v/>
      </c>
      <c r="AD9" s="17">
        <f>J9*AC9</f>
        <v/>
      </c>
      <c r="AE9" s="14" t="inlineStr">
        <is>
          <t>Output flange €7.00 → net €4.55; single output shaft €8.00 → €5.20; torque arm €9.00 → €5.85</t>
        </is>
      </c>
      <c r="AF9" s="18" t="n"/>
    </row>
    <row r="10">
      <c r="A10" s="8" t="inlineStr">
        <is>
          <t>GB-006</t>
        </is>
      </c>
      <c r="B10" s="8" t="inlineStr">
        <is>
          <t>Worm Gearbox</t>
        </is>
      </c>
      <c r="C10" s="8" t="inlineStr">
        <is>
          <t>NMRV</t>
        </is>
      </c>
      <c r="D10" s="8" t="inlineStr">
        <is>
          <t>040</t>
        </is>
      </c>
      <c r="E10" s="8" t="n"/>
      <c r="F10" s="8" t="inlineStr">
        <is>
          <t>1:40</t>
        </is>
      </c>
      <c r="G10" s="8" t="inlineStr">
        <is>
          <t>Universal</t>
        </is>
      </c>
      <c r="H10" s="8" t="inlineStr">
        <is>
          <t>Hollow shaft, keyed</t>
        </is>
      </c>
      <c r="I10" s="8" t="inlineStr">
        <is>
          <t>IEC motor adaptor/input</t>
        </is>
      </c>
      <c r="J10" s="8" t="n">
        <v>4</v>
      </c>
      <c r="K10" s="9" t="inlineStr">
        <is>
          <t>S series (worm)</t>
        </is>
      </c>
      <c r="L10" s="10" t="inlineStr">
        <is>
          <t>SP 40  i=40  (IEC B14/B5 input flange, hollow output)</t>
        </is>
      </c>
      <c r="M10" s="11" t="inlineStr">
        <is>
          <t>— (motor power not specified in RFQ)</t>
        </is>
      </c>
      <c r="N10" s="12" t="n">
        <v>40</v>
      </c>
      <c r="O10" s="9" t="n">
        <v>35</v>
      </c>
      <c r="P10" s="9" t="n">
        <v>39</v>
      </c>
      <c r="Q10" s="11" t="inlineStr">
        <is>
          <t>P1 max 0.22 kW at Sf=1</t>
        </is>
      </c>
      <c r="R10" s="11" t="inlineStr">
        <is>
          <t>Reducer table n1=1400 rpm, Sf=1 (η 65%)</t>
        </is>
      </c>
      <c r="S10" s="11" t="inlineStr">
        <is>
          <t>Hollow shaft Ø18 H7, keyed</t>
        </is>
      </c>
      <c r="T10" s="11" t="inlineStr">
        <is>
          <t>IEC 63, 71 (B14 or B5)</t>
        </is>
      </c>
      <c r="U10" s="11" t="inlineStr">
        <is>
          <t>FR/FL output flange; TR/TL torque arm; SR/SL/SD output shaft; oil 211 synthetic VG220 if required</t>
        </is>
      </c>
      <c r="V10" s="11" t="inlineStr">
        <is>
          <t>S-IRS-IRSD 2025: ratings p.61; dims p.73-74</t>
        </is>
      </c>
      <c r="W10" s="11" t="inlineStr">
        <is>
          <t>Direct size-for-size NMRV equivalent (same centre distance and hollow bore). Ratio is a standard catalogue ratio.</t>
        </is>
      </c>
      <c r="X10" s="13" t="inlineStr">
        <is>
          <t>S/SP 40</t>
        </is>
      </c>
      <c r="Y10" s="14" t="inlineStr">
        <is>
          <t>p.55 (S series aluminium worm gear units)</t>
        </is>
      </c>
      <c r="Z10" s="14" t="inlineStr">
        <is>
          <t>YES</t>
        </is>
      </c>
      <c r="AA10" s="15" t="n">
        <v>105</v>
      </c>
      <c r="AB10" s="14" t="inlineStr">
        <is>
          <t>Gearbox with IEC input flange (SP) and hollow output shaft</t>
        </is>
      </c>
      <c r="AC10" s="16">
        <f>ROUND(AA10*(1-$L$2),2)</f>
        <v/>
      </c>
      <c r="AD10" s="17">
        <f>J10*AC10</f>
        <v/>
      </c>
      <c r="AE10" s="14" t="inlineStr">
        <is>
          <t>Output flange €7.00 → net €4.55; single output shaft €8.00 → €5.20; torque arm €9.00 → €5.85</t>
        </is>
      </c>
      <c r="AF10" s="18" t="n"/>
    </row>
    <row r="11">
      <c r="A11" s="8" t="inlineStr">
        <is>
          <t>GB-007</t>
        </is>
      </c>
      <c r="B11" s="8" t="inlineStr">
        <is>
          <t>Worm Gearbox</t>
        </is>
      </c>
      <c r="C11" s="8" t="inlineStr">
        <is>
          <t>NMRV</t>
        </is>
      </c>
      <c r="D11" s="8" t="inlineStr">
        <is>
          <t>040</t>
        </is>
      </c>
      <c r="E11" s="8" t="n"/>
      <c r="F11" s="8" t="inlineStr">
        <is>
          <t>1:50</t>
        </is>
      </c>
      <c r="G11" s="8" t="inlineStr">
        <is>
          <t>Universal</t>
        </is>
      </c>
      <c r="H11" s="8" t="inlineStr">
        <is>
          <t>Hollow shaft, keyed</t>
        </is>
      </c>
      <c r="I11" s="8" t="inlineStr">
        <is>
          <t>IEC motor adaptor/input</t>
        </is>
      </c>
      <c r="J11" s="8" t="n">
        <v>4</v>
      </c>
      <c r="K11" s="9" t="inlineStr">
        <is>
          <t>S series (worm)</t>
        </is>
      </c>
      <c r="L11" s="10" t="inlineStr">
        <is>
          <t>SP 40  i=50  (IEC B14/B5 input flange, hollow output)</t>
        </is>
      </c>
      <c r="M11" s="11" t="inlineStr">
        <is>
          <t>— (motor power not specified in RFQ)</t>
        </is>
      </c>
      <c r="N11" s="12" t="n">
        <v>50</v>
      </c>
      <c r="O11" s="9" t="n">
        <v>28</v>
      </c>
      <c r="P11" s="9" t="n">
        <v>37</v>
      </c>
      <c r="Q11" s="11" t="inlineStr">
        <is>
          <t>P1 max 0.18 kW at Sf=1</t>
        </is>
      </c>
      <c r="R11" s="11" t="inlineStr">
        <is>
          <t>Reducer table n1=1400 rpm, Sf=1 (η 61%)</t>
        </is>
      </c>
      <c r="S11" s="11" t="inlineStr">
        <is>
          <t>Hollow shaft Ø18 H7, keyed</t>
        </is>
      </c>
      <c r="T11" s="11" t="inlineStr">
        <is>
          <t>IEC 63, 71 (B14 or B5)</t>
        </is>
      </c>
      <c r="U11" s="11" t="inlineStr">
        <is>
          <t>FR/FL output flange; TR/TL torque arm; SR/SL/SD output shaft; oil 211 synthetic VG220 if required</t>
        </is>
      </c>
      <c r="V11" s="11" t="inlineStr">
        <is>
          <t>S-IRS-IRSD 2025: ratings p.61; dims p.73-74</t>
        </is>
      </c>
      <c r="W11" s="11" t="inlineStr">
        <is>
          <t>Direct size-for-size NMRV equivalent (same centre distance and hollow bore). Ratio is a standard catalogue ratio.</t>
        </is>
      </c>
      <c r="X11" s="13" t="inlineStr">
        <is>
          <t>S/SP 40</t>
        </is>
      </c>
      <c r="Y11" s="14" t="inlineStr">
        <is>
          <t>p.55 (S series aluminium worm gear units)</t>
        </is>
      </c>
      <c r="Z11" s="14" t="inlineStr">
        <is>
          <t>YES</t>
        </is>
      </c>
      <c r="AA11" s="15" t="n">
        <v>105</v>
      </c>
      <c r="AB11" s="14" t="inlineStr">
        <is>
          <t>Gearbox with IEC input flange (SP) and hollow output shaft</t>
        </is>
      </c>
      <c r="AC11" s="16">
        <f>ROUND(AA11*(1-$L$2),2)</f>
        <v/>
      </c>
      <c r="AD11" s="17">
        <f>J11*AC11</f>
        <v/>
      </c>
      <c r="AE11" s="14" t="inlineStr">
        <is>
          <t>Output flange €7.00 → net €4.55; single output shaft €8.00 → €5.20; torque arm €9.00 → €5.85</t>
        </is>
      </c>
      <c r="AF11" s="18" t="n"/>
    </row>
    <row r="12">
      <c r="A12" s="8" t="inlineStr">
        <is>
          <t>GB-008</t>
        </is>
      </c>
      <c r="B12" s="8" t="inlineStr">
        <is>
          <t>Worm Gearbox</t>
        </is>
      </c>
      <c r="C12" s="8" t="inlineStr">
        <is>
          <t>NMRV</t>
        </is>
      </c>
      <c r="D12" s="8" t="inlineStr">
        <is>
          <t>040</t>
        </is>
      </c>
      <c r="E12" s="8" t="n"/>
      <c r="F12" s="8" t="inlineStr">
        <is>
          <t>1:60</t>
        </is>
      </c>
      <c r="G12" s="8" t="inlineStr">
        <is>
          <t>Universal</t>
        </is>
      </c>
      <c r="H12" s="8" t="inlineStr">
        <is>
          <t>Hollow shaft, keyed</t>
        </is>
      </c>
      <c r="I12" s="8" t="inlineStr">
        <is>
          <t>IEC motor adaptor/input</t>
        </is>
      </c>
      <c r="J12" s="8" t="n">
        <v>2</v>
      </c>
      <c r="K12" s="9" t="inlineStr">
        <is>
          <t>S series (worm)</t>
        </is>
      </c>
      <c r="L12" s="10" t="inlineStr">
        <is>
          <t>SP 40  i=60  (IEC B14/B5 input flange, hollow output)</t>
        </is>
      </c>
      <c r="M12" s="11" t="inlineStr">
        <is>
          <t>— (motor power not specified in RFQ)</t>
        </is>
      </c>
      <c r="N12" s="12" t="n">
        <v>60</v>
      </c>
      <c r="O12" s="9" t="n">
        <v>23</v>
      </c>
      <c r="P12" s="9" t="n">
        <v>32</v>
      </c>
      <c r="Q12" s="11" t="inlineStr">
        <is>
          <t>P1 max 0.14 kW at Sf=1</t>
        </is>
      </c>
      <c r="R12" s="11" t="inlineStr">
        <is>
          <t>Reducer table n1=1400 rpm, Sf=1 (η 55%)</t>
        </is>
      </c>
      <c r="S12" s="11" t="inlineStr">
        <is>
          <t>Hollow shaft Ø18 H7, keyed</t>
        </is>
      </c>
      <c r="T12" s="11" t="inlineStr">
        <is>
          <t>IEC 63, 71 (B14 or B5)</t>
        </is>
      </c>
      <c r="U12" s="11" t="inlineStr">
        <is>
          <t>FR/FL output flange; TR/TL torque arm; SR/SL/SD output shaft; oil 211 synthetic VG220 if required</t>
        </is>
      </c>
      <c r="V12" s="11" t="inlineStr">
        <is>
          <t>S-IRS-IRSD 2025: ratings p.61; dims p.73-74</t>
        </is>
      </c>
      <c r="W12" s="11" t="inlineStr">
        <is>
          <t>Direct size-for-size NMRV equivalent (same centre distance and hollow bore). Ratio is a standard catalogue ratio.</t>
        </is>
      </c>
      <c r="X12" s="13" t="inlineStr">
        <is>
          <t>S/SP 40</t>
        </is>
      </c>
      <c r="Y12" s="14" t="inlineStr">
        <is>
          <t>p.55 (S series aluminium worm gear units)</t>
        </is>
      </c>
      <c r="Z12" s="14" t="inlineStr">
        <is>
          <t>YES</t>
        </is>
      </c>
      <c r="AA12" s="15" t="n">
        <v>105</v>
      </c>
      <c r="AB12" s="14" t="inlineStr">
        <is>
          <t>Gearbox with IEC input flange (SP) and hollow output shaft</t>
        </is>
      </c>
      <c r="AC12" s="16">
        <f>ROUND(AA12*(1-$L$2),2)</f>
        <v/>
      </c>
      <c r="AD12" s="17">
        <f>J12*AC12</f>
        <v/>
      </c>
      <c r="AE12" s="14" t="inlineStr">
        <is>
          <t>Output flange €7.00 → net €4.55; single output shaft €8.00 → €5.20; torque arm €9.00 → €5.85</t>
        </is>
      </c>
      <c r="AF12" s="18" t="n"/>
    </row>
    <row r="13">
      <c r="A13" s="8" t="inlineStr">
        <is>
          <t>GB-009</t>
        </is>
      </c>
      <c r="B13" s="8" t="inlineStr">
        <is>
          <t>Worm Gearbox</t>
        </is>
      </c>
      <c r="C13" s="8" t="inlineStr">
        <is>
          <t>NMRV</t>
        </is>
      </c>
      <c r="D13" s="8" t="inlineStr">
        <is>
          <t>050</t>
        </is>
      </c>
      <c r="E13" s="8" t="n"/>
      <c r="F13" s="8" t="inlineStr">
        <is>
          <t>1:10</t>
        </is>
      </c>
      <c r="G13" s="8" t="inlineStr">
        <is>
          <t>Universal</t>
        </is>
      </c>
      <c r="H13" s="8" t="inlineStr">
        <is>
          <t>Hollow shaft, keyed</t>
        </is>
      </c>
      <c r="I13" s="8" t="inlineStr">
        <is>
          <t>IEC motor adaptor/input</t>
        </is>
      </c>
      <c r="J13" s="8" t="n">
        <v>6</v>
      </c>
      <c r="K13" s="9" t="inlineStr">
        <is>
          <t>S series (worm)</t>
        </is>
      </c>
      <c r="L13" s="10" t="inlineStr">
        <is>
          <t>SP 50  i=10  (IEC B14/B5 input flange, hollow output)</t>
        </is>
      </c>
      <c r="M13" s="11" t="inlineStr">
        <is>
          <t>— (motor power not specified in RFQ)</t>
        </is>
      </c>
      <c r="N13" s="12" t="n">
        <v>10</v>
      </c>
      <c r="O13" s="9" t="n">
        <v>140</v>
      </c>
      <c r="P13" s="9" t="n">
        <v>62</v>
      </c>
      <c r="Q13" s="11" t="inlineStr">
        <is>
          <t>P1 max 1.11 kW at Sf=1</t>
        </is>
      </c>
      <c r="R13" s="11" t="inlineStr">
        <is>
          <t>Reducer table n1=1400 rpm, Sf=1 (η 82%)</t>
        </is>
      </c>
      <c r="S13" s="11" t="inlineStr">
        <is>
          <t>Hollow shaft Ø25 H7, keyed</t>
        </is>
      </c>
      <c r="T13" s="11" t="inlineStr">
        <is>
          <t>IEC 63, 71, 80 (B14 or B5)</t>
        </is>
      </c>
      <c r="U13" s="11" t="inlineStr">
        <is>
          <t>FR/FL output flange; TR/TL torque arm; SR/SL/SD output shaft; oil 211 synthetic VG220 if required</t>
        </is>
      </c>
      <c r="V13" s="11" t="inlineStr">
        <is>
          <t>S-IRS-IRSD 2025: ratings p.61; dims p.75-76</t>
        </is>
      </c>
      <c r="W13" s="11" t="inlineStr">
        <is>
          <t>Direct size-for-size NMRV equivalent (same centre distance and hollow bore). Ratio is a standard catalogue ratio.</t>
        </is>
      </c>
      <c r="X13" s="13" t="inlineStr">
        <is>
          <t>S/SP 50</t>
        </is>
      </c>
      <c r="Y13" s="14" t="inlineStr">
        <is>
          <t>p.55 (S series aluminium worm gear units)</t>
        </is>
      </c>
      <c r="Z13" s="14" t="inlineStr">
        <is>
          <t>YES</t>
        </is>
      </c>
      <c r="AA13" s="15" t="n">
        <v>129</v>
      </c>
      <c r="AB13" s="14" t="inlineStr">
        <is>
          <t>Gearbox with IEC input flange (SP) and hollow output shaft</t>
        </is>
      </c>
      <c r="AC13" s="16">
        <f>ROUND(AA13*(1-$L$2),2)</f>
        <v/>
      </c>
      <c r="AD13" s="17">
        <f>J13*AC13</f>
        <v/>
      </c>
      <c r="AE13" s="14" t="inlineStr">
        <is>
          <t>Output flange €8.00 → net €5.20; single output shaft €9.00 → €5.85; torque arm €11.00 → €7.15</t>
        </is>
      </c>
      <c r="AF13" s="18" t="n"/>
    </row>
    <row r="14">
      <c r="A14" s="8" t="inlineStr">
        <is>
          <t>GB-010</t>
        </is>
      </c>
      <c r="B14" s="8" t="inlineStr">
        <is>
          <t>Worm Gearbox</t>
        </is>
      </c>
      <c r="C14" s="8" t="inlineStr">
        <is>
          <t>NMRV</t>
        </is>
      </c>
      <c r="D14" s="8" t="inlineStr">
        <is>
          <t>050</t>
        </is>
      </c>
      <c r="E14" s="8" t="n"/>
      <c r="F14" s="8" t="inlineStr">
        <is>
          <t>1:15</t>
        </is>
      </c>
      <c r="G14" s="8" t="inlineStr">
        <is>
          <t>Universal</t>
        </is>
      </c>
      <c r="H14" s="8" t="inlineStr">
        <is>
          <t>Hollow shaft, keyed</t>
        </is>
      </c>
      <c r="I14" s="8" t="inlineStr">
        <is>
          <t>IEC motor adaptor/input</t>
        </is>
      </c>
      <c r="J14" s="8" t="n">
        <v>5</v>
      </c>
      <c r="K14" s="9" t="inlineStr">
        <is>
          <t>S series (worm)</t>
        </is>
      </c>
      <c r="L14" s="10" t="inlineStr">
        <is>
          <t>SP 50  i=15  (IEC B14/B5 input flange, hollow output)</t>
        </is>
      </c>
      <c r="M14" s="11" t="inlineStr">
        <is>
          <t>— (motor power not specified in RFQ)</t>
        </is>
      </c>
      <c r="N14" s="12" t="n">
        <v>15</v>
      </c>
      <c r="O14" s="9" t="n">
        <v>93</v>
      </c>
      <c r="P14" s="9" t="n">
        <v>69</v>
      </c>
      <c r="Q14" s="11" t="inlineStr">
        <is>
          <t>P1 max 0.85 kW at Sf=1</t>
        </is>
      </c>
      <c r="R14" s="11" t="inlineStr">
        <is>
          <t>Reducer table n1=1400 rpm, Sf=1 (η 79%)</t>
        </is>
      </c>
      <c r="S14" s="11" t="inlineStr">
        <is>
          <t>Hollow shaft Ø25 H7, keyed</t>
        </is>
      </c>
      <c r="T14" s="11" t="inlineStr">
        <is>
          <t>IEC 63, 71, 80 (B14 or B5)</t>
        </is>
      </c>
      <c r="U14" s="11" t="inlineStr">
        <is>
          <t>FR/FL output flange; TR/TL torque arm; SR/SL/SD output shaft; oil 211 synthetic VG220 if required</t>
        </is>
      </c>
      <c r="V14" s="11" t="inlineStr">
        <is>
          <t>S-IRS-IRSD 2025: ratings p.61; dims p.75-76</t>
        </is>
      </c>
      <c r="W14" s="11" t="inlineStr">
        <is>
          <t>Direct size-for-size NMRV equivalent (same centre distance and hollow bore). Ratio is a standard catalogue ratio.</t>
        </is>
      </c>
      <c r="X14" s="13" t="inlineStr">
        <is>
          <t>S/SP 50</t>
        </is>
      </c>
      <c r="Y14" s="14" t="inlineStr">
        <is>
          <t>p.55 (S series aluminium worm gear units)</t>
        </is>
      </c>
      <c r="Z14" s="14" t="inlineStr">
        <is>
          <t>YES</t>
        </is>
      </c>
      <c r="AA14" s="15" t="n">
        <v>129</v>
      </c>
      <c r="AB14" s="14" t="inlineStr">
        <is>
          <t>Gearbox with IEC input flange (SP) and hollow output shaft</t>
        </is>
      </c>
      <c r="AC14" s="16">
        <f>ROUND(AA14*(1-$L$2),2)</f>
        <v/>
      </c>
      <c r="AD14" s="17">
        <f>J14*AC14</f>
        <v/>
      </c>
      <c r="AE14" s="14" t="inlineStr">
        <is>
          <t>Output flange €8.00 → net €5.20; single output shaft €9.00 → €5.85; torque arm €11.00 → €7.15</t>
        </is>
      </c>
      <c r="AF14" s="18" t="n"/>
    </row>
    <row r="15">
      <c r="A15" s="8" t="inlineStr">
        <is>
          <t>GB-011</t>
        </is>
      </c>
      <c r="B15" s="8" t="inlineStr">
        <is>
          <t>Worm Gearbox</t>
        </is>
      </c>
      <c r="C15" s="8" t="inlineStr">
        <is>
          <t>NMRV</t>
        </is>
      </c>
      <c r="D15" s="8" t="inlineStr">
        <is>
          <t>050</t>
        </is>
      </c>
      <c r="E15" s="8" t="n"/>
      <c r="F15" s="8" t="inlineStr">
        <is>
          <t>1:20</t>
        </is>
      </c>
      <c r="G15" s="8" t="inlineStr">
        <is>
          <t>Universal</t>
        </is>
      </c>
      <c r="H15" s="8" t="inlineStr">
        <is>
          <t>Hollow shaft, keyed</t>
        </is>
      </c>
      <c r="I15" s="8" t="inlineStr">
        <is>
          <t>IEC motor adaptor/input</t>
        </is>
      </c>
      <c r="J15" s="8" t="n">
        <v>6</v>
      </c>
      <c r="K15" s="9" t="inlineStr">
        <is>
          <t>S series (worm)</t>
        </is>
      </c>
      <c r="L15" s="10" t="inlineStr">
        <is>
          <t>SP 50  i=20  (IEC B14/B5 input flange, hollow output)</t>
        </is>
      </c>
      <c r="M15" s="11" t="inlineStr">
        <is>
          <t>— (motor power not specified in RFQ)</t>
        </is>
      </c>
      <c r="N15" s="12" t="n">
        <v>20</v>
      </c>
      <c r="O15" s="9" t="n">
        <v>70</v>
      </c>
      <c r="P15" s="9" t="n">
        <v>65</v>
      </c>
      <c r="Q15" s="11" t="inlineStr">
        <is>
          <t>P1 max 0.64 kW at Sf=1</t>
        </is>
      </c>
      <c r="R15" s="11" t="inlineStr">
        <is>
          <t>Reducer table n1=1400 rpm, Sf=1 (η 74%)</t>
        </is>
      </c>
      <c r="S15" s="11" t="inlineStr">
        <is>
          <t>Hollow shaft Ø25 H7, keyed</t>
        </is>
      </c>
      <c r="T15" s="11" t="inlineStr">
        <is>
          <t>IEC 63, 71, 80 (B14 or B5)</t>
        </is>
      </c>
      <c r="U15" s="11" t="inlineStr">
        <is>
          <t>FR/FL output flange; TR/TL torque arm; SR/SL/SD output shaft; oil 211 synthetic VG220 if required</t>
        </is>
      </c>
      <c r="V15" s="11" t="inlineStr">
        <is>
          <t>S-IRS-IRSD 2025: ratings p.61; dims p.75-76</t>
        </is>
      </c>
      <c r="W15" s="11" t="inlineStr">
        <is>
          <t>Direct size-for-size NMRV equivalent (same centre distance and hollow bore). Ratio is a standard catalogue ratio.</t>
        </is>
      </c>
      <c r="X15" s="13" t="inlineStr">
        <is>
          <t>S/SP 50</t>
        </is>
      </c>
      <c r="Y15" s="14" t="inlineStr">
        <is>
          <t>p.55 (S series aluminium worm gear units)</t>
        </is>
      </c>
      <c r="Z15" s="14" t="inlineStr">
        <is>
          <t>YES</t>
        </is>
      </c>
      <c r="AA15" s="15" t="n">
        <v>129</v>
      </c>
      <c r="AB15" s="14" t="inlineStr">
        <is>
          <t>Gearbox with IEC input flange (SP) and hollow output shaft</t>
        </is>
      </c>
      <c r="AC15" s="16">
        <f>ROUND(AA15*(1-$L$2),2)</f>
        <v/>
      </c>
      <c r="AD15" s="17">
        <f>J15*AC15</f>
        <v/>
      </c>
      <c r="AE15" s="14" t="inlineStr">
        <is>
          <t>Output flange €8.00 → net €5.20; single output shaft €9.00 → €5.85; torque arm €11.00 → €7.15</t>
        </is>
      </c>
      <c r="AF15" s="18" t="n"/>
    </row>
    <row r="16">
      <c r="A16" s="8" t="inlineStr">
        <is>
          <t>GB-012</t>
        </is>
      </c>
      <c r="B16" s="8" t="inlineStr">
        <is>
          <t>Worm Gearbox</t>
        </is>
      </c>
      <c r="C16" s="8" t="inlineStr">
        <is>
          <t>NMRV</t>
        </is>
      </c>
      <c r="D16" s="8" t="inlineStr">
        <is>
          <t>050</t>
        </is>
      </c>
      <c r="E16" s="8" t="n"/>
      <c r="F16" s="8" t="inlineStr">
        <is>
          <t>1:25</t>
        </is>
      </c>
      <c r="G16" s="8" t="inlineStr">
        <is>
          <t>Universal</t>
        </is>
      </c>
      <c r="H16" s="8" t="inlineStr">
        <is>
          <t>Hollow shaft, keyed</t>
        </is>
      </c>
      <c r="I16" s="8" t="inlineStr">
        <is>
          <t>IEC motor adaptor/input</t>
        </is>
      </c>
      <c r="J16" s="8" t="n">
        <v>4</v>
      </c>
      <c r="K16" s="9" t="inlineStr">
        <is>
          <t>S series (worm)</t>
        </is>
      </c>
      <c r="L16" s="10" t="inlineStr">
        <is>
          <t>SP 50  i=25  (IEC B14/B5 input flange, hollow output)</t>
        </is>
      </c>
      <c r="M16" s="11" t="inlineStr">
        <is>
          <t>— (motor power not specified in RFQ)</t>
        </is>
      </c>
      <c r="N16" s="12" t="n">
        <v>25</v>
      </c>
      <c r="O16" s="9" t="n">
        <v>56</v>
      </c>
      <c r="P16" s="9" t="n">
        <v>61</v>
      </c>
      <c r="Q16" s="11" t="inlineStr">
        <is>
          <t>P1 max 0.5 kW at Sf=1</t>
        </is>
      </c>
      <c r="R16" s="11" t="inlineStr">
        <is>
          <t>Reducer table n1=1400 rpm, Sf=1 (η 71%)</t>
        </is>
      </c>
      <c r="S16" s="11" t="inlineStr">
        <is>
          <t>Hollow shaft Ø25 H7, keyed</t>
        </is>
      </c>
      <c r="T16" s="11" t="inlineStr">
        <is>
          <t>IEC 63, 71, 80 (B14 or B5)</t>
        </is>
      </c>
      <c r="U16" s="11" t="inlineStr">
        <is>
          <t>FR/FL output flange; TR/TL torque arm; SR/SL/SD output shaft; oil 211 synthetic VG220 if required</t>
        </is>
      </c>
      <c r="V16" s="11" t="inlineStr">
        <is>
          <t>S-IRS-IRSD 2025: ratings p.61; dims p.75-76</t>
        </is>
      </c>
      <c r="W16" s="11" t="inlineStr">
        <is>
          <t>Direct size-for-size NMRV equivalent (same centre distance and hollow bore). Ratio is a standard catalogue ratio.</t>
        </is>
      </c>
      <c r="X16" s="13" t="inlineStr">
        <is>
          <t>S/SP 50</t>
        </is>
      </c>
      <c r="Y16" s="14" t="inlineStr">
        <is>
          <t>p.55 (S series aluminium worm gear units)</t>
        </is>
      </c>
      <c r="Z16" s="14" t="inlineStr">
        <is>
          <t>YES</t>
        </is>
      </c>
      <c r="AA16" s="15" t="n">
        <v>129</v>
      </c>
      <c r="AB16" s="14" t="inlineStr">
        <is>
          <t>Gearbox with IEC input flange (SP) and hollow output shaft</t>
        </is>
      </c>
      <c r="AC16" s="16">
        <f>ROUND(AA16*(1-$L$2),2)</f>
        <v/>
      </c>
      <c r="AD16" s="17">
        <f>J16*AC16</f>
        <v/>
      </c>
      <c r="AE16" s="14" t="inlineStr">
        <is>
          <t>Output flange €8.00 → net €5.20; single output shaft €9.00 → €5.85; torque arm €11.00 → €7.15</t>
        </is>
      </c>
      <c r="AF16" s="18" t="n"/>
    </row>
    <row r="17">
      <c r="A17" s="8" t="inlineStr">
        <is>
          <t>GB-013</t>
        </is>
      </c>
      <c r="B17" s="8" t="inlineStr">
        <is>
          <t>Worm Gearbox</t>
        </is>
      </c>
      <c r="C17" s="8" t="inlineStr">
        <is>
          <t>NMRV</t>
        </is>
      </c>
      <c r="D17" s="8" t="inlineStr">
        <is>
          <t>050</t>
        </is>
      </c>
      <c r="E17" s="8" t="n"/>
      <c r="F17" s="8" t="inlineStr">
        <is>
          <t>1:30</t>
        </is>
      </c>
      <c r="G17" s="8" t="inlineStr">
        <is>
          <t>Universal</t>
        </is>
      </c>
      <c r="H17" s="8" t="inlineStr">
        <is>
          <t>Hollow shaft, keyed</t>
        </is>
      </c>
      <c r="I17" s="8" t="inlineStr">
        <is>
          <t>IEC motor adaptor/input</t>
        </is>
      </c>
      <c r="J17" s="8" t="n">
        <v>5</v>
      </c>
      <c r="K17" s="9" t="inlineStr">
        <is>
          <t>S series (worm)</t>
        </is>
      </c>
      <c r="L17" s="10" t="inlineStr">
        <is>
          <t>SP 50  i=30  (IEC B14/B5 input flange, hollow output)</t>
        </is>
      </c>
      <c r="M17" s="11" t="inlineStr">
        <is>
          <t>— (motor power not specified in RFQ)</t>
        </is>
      </c>
      <c r="N17" s="12" t="n">
        <v>30</v>
      </c>
      <c r="O17" s="9" t="n">
        <v>47</v>
      </c>
      <c r="P17" s="9" t="n">
        <v>70</v>
      </c>
      <c r="Q17" s="11" t="inlineStr">
        <is>
          <t>P1 max 0.5 kW at Sf=1</t>
        </is>
      </c>
      <c r="R17" s="11" t="inlineStr">
        <is>
          <t>Reducer table n1=1400 rpm, Sf=1 (η 68%)</t>
        </is>
      </c>
      <c r="S17" s="11" t="inlineStr">
        <is>
          <t>Hollow shaft Ø25 H7, keyed</t>
        </is>
      </c>
      <c r="T17" s="11" t="inlineStr">
        <is>
          <t>IEC 63, 71, 80 (B14 or B5)</t>
        </is>
      </c>
      <c r="U17" s="11" t="inlineStr">
        <is>
          <t>FR/FL output flange; TR/TL torque arm; SR/SL/SD output shaft; oil 211 synthetic VG220 if required</t>
        </is>
      </c>
      <c r="V17" s="11" t="inlineStr">
        <is>
          <t>S-IRS-IRSD 2025: ratings p.61; dims p.75-76</t>
        </is>
      </c>
      <c r="W17" s="11" t="inlineStr">
        <is>
          <t>Direct size-for-size NMRV equivalent (same centre distance and hollow bore). Ratio is a standard catalogue ratio.</t>
        </is>
      </c>
      <c r="X17" s="13" t="inlineStr">
        <is>
          <t>S/SP 50</t>
        </is>
      </c>
      <c r="Y17" s="14" t="inlineStr">
        <is>
          <t>p.55 (S series aluminium worm gear units)</t>
        </is>
      </c>
      <c r="Z17" s="14" t="inlineStr">
        <is>
          <t>YES</t>
        </is>
      </c>
      <c r="AA17" s="15" t="n">
        <v>129</v>
      </c>
      <c r="AB17" s="14" t="inlineStr">
        <is>
          <t>Gearbox with IEC input flange (SP) and hollow output shaft</t>
        </is>
      </c>
      <c r="AC17" s="16">
        <f>ROUND(AA17*(1-$L$2),2)</f>
        <v/>
      </c>
      <c r="AD17" s="17">
        <f>J17*AC17</f>
        <v/>
      </c>
      <c r="AE17" s="14" t="inlineStr">
        <is>
          <t>Output flange €8.00 → net €5.20; single output shaft €9.00 → €5.85; torque arm €11.00 → €7.15</t>
        </is>
      </c>
      <c r="AF17" s="18" t="n"/>
    </row>
    <row r="18">
      <c r="A18" s="8" t="inlineStr">
        <is>
          <t>GB-014</t>
        </is>
      </c>
      <c r="B18" s="8" t="inlineStr">
        <is>
          <t>Worm Gearbox</t>
        </is>
      </c>
      <c r="C18" s="8" t="inlineStr">
        <is>
          <t>NMRV</t>
        </is>
      </c>
      <c r="D18" s="8" t="inlineStr">
        <is>
          <t>050</t>
        </is>
      </c>
      <c r="E18" s="8" t="n"/>
      <c r="F18" s="8" t="inlineStr">
        <is>
          <t>1:40</t>
        </is>
      </c>
      <c r="G18" s="8" t="inlineStr">
        <is>
          <t>Universal</t>
        </is>
      </c>
      <c r="H18" s="8" t="inlineStr">
        <is>
          <t>Hollow shaft, keyed</t>
        </is>
      </c>
      <c r="I18" s="8" t="inlineStr">
        <is>
          <t>IEC motor adaptor/input</t>
        </is>
      </c>
      <c r="J18" s="8" t="n">
        <v>4</v>
      </c>
      <c r="K18" s="9" t="inlineStr">
        <is>
          <t>S series (worm)</t>
        </is>
      </c>
      <c r="L18" s="10" t="inlineStr">
        <is>
          <t>SP 50  i=40  (IEC B14/B5 input flange, hollow output)</t>
        </is>
      </c>
      <c r="M18" s="11" t="inlineStr">
        <is>
          <t>— (motor power not specified in RFQ)</t>
        </is>
      </c>
      <c r="N18" s="12" t="n">
        <v>40</v>
      </c>
      <c r="O18" s="9" t="n">
        <v>35</v>
      </c>
      <c r="P18" s="9" t="n">
        <v>71</v>
      </c>
      <c r="Q18" s="11" t="inlineStr">
        <is>
          <t>P1 max 0.4 kW at Sf=1</t>
        </is>
      </c>
      <c r="R18" s="11" t="inlineStr">
        <is>
          <t>Reducer table n1=1400 rpm, Sf=1 (η 65%)</t>
        </is>
      </c>
      <c r="S18" s="11" t="inlineStr">
        <is>
          <t>Hollow shaft Ø25 H7, keyed</t>
        </is>
      </c>
      <c r="T18" s="11" t="inlineStr">
        <is>
          <t>IEC 63, 71, 80 (B14 or B5)</t>
        </is>
      </c>
      <c r="U18" s="11" t="inlineStr">
        <is>
          <t>FR/FL output flange; TR/TL torque arm; SR/SL/SD output shaft; oil 211 synthetic VG220 if required</t>
        </is>
      </c>
      <c r="V18" s="11" t="inlineStr">
        <is>
          <t>S-IRS-IRSD 2025: ratings p.61; dims p.75-76</t>
        </is>
      </c>
      <c r="W18" s="11" t="inlineStr">
        <is>
          <t>Direct size-for-size NMRV equivalent (same centre distance and hollow bore). Ratio is a standard catalogue ratio.</t>
        </is>
      </c>
      <c r="X18" s="13" t="inlineStr">
        <is>
          <t>S/SP 50</t>
        </is>
      </c>
      <c r="Y18" s="14" t="inlineStr">
        <is>
          <t>p.55 (S series aluminium worm gear units)</t>
        </is>
      </c>
      <c r="Z18" s="14" t="inlineStr">
        <is>
          <t>YES</t>
        </is>
      </c>
      <c r="AA18" s="15" t="n">
        <v>129</v>
      </c>
      <c r="AB18" s="14" t="inlineStr">
        <is>
          <t>Gearbox with IEC input flange (SP) and hollow output shaft</t>
        </is>
      </c>
      <c r="AC18" s="16">
        <f>ROUND(AA18*(1-$L$2),2)</f>
        <v/>
      </c>
      <c r="AD18" s="17">
        <f>J18*AC18</f>
        <v/>
      </c>
      <c r="AE18" s="14" t="inlineStr">
        <is>
          <t>Output flange €8.00 → net €5.20; single output shaft €9.00 → €5.85; torque arm €11.00 → €7.15</t>
        </is>
      </c>
      <c r="AF18" s="18" t="n"/>
    </row>
    <row r="19">
      <c r="A19" s="8" t="inlineStr">
        <is>
          <t>GB-015</t>
        </is>
      </c>
      <c r="B19" s="8" t="inlineStr">
        <is>
          <t>Worm Gearbox</t>
        </is>
      </c>
      <c r="C19" s="8" t="inlineStr">
        <is>
          <t>NMRV</t>
        </is>
      </c>
      <c r="D19" s="8" t="inlineStr">
        <is>
          <t>050</t>
        </is>
      </c>
      <c r="E19" s="8" t="n"/>
      <c r="F19" s="8" t="inlineStr">
        <is>
          <t>1:50</t>
        </is>
      </c>
      <c r="G19" s="8" t="inlineStr">
        <is>
          <t>Universal</t>
        </is>
      </c>
      <c r="H19" s="8" t="inlineStr">
        <is>
          <t>Hollow shaft, keyed</t>
        </is>
      </c>
      <c r="I19" s="8" t="inlineStr">
        <is>
          <t>IEC motor adaptor/input</t>
        </is>
      </c>
      <c r="J19" s="8" t="n">
        <v>4</v>
      </c>
      <c r="K19" s="9" t="inlineStr">
        <is>
          <t>S series (worm)</t>
        </is>
      </c>
      <c r="L19" s="10" t="inlineStr">
        <is>
          <t>SP 50  i=50  (IEC B14/B5 input flange, hollow output)</t>
        </is>
      </c>
      <c r="M19" s="11" t="inlineStr">
        <is>
          <t>— (motor power not specified in RFQ)</t>
        </is>
      </c>
      <c r="N19" s="12" t="n">
        <v>50</v>
      </c>
      <c r="O19" s="9" t="n">
        <v>28</v>
      </c>
      <c r="P19" s="9" t="n">
        <v>64</v>
      </c>
      <c r="Q19" s="11" t="inlineStr">
        <is>
          <t>P1 max 0.31 kW at Sf=1</t>
        </is>
      </c>
      <c r="R19" s="11" t="inlineStr">
        <is>
          <t>Reducer table n1=1400 rpm, Sf=1 (η 61%)</t>
        </is>
      </c>
      <c r="S19" s="11" t="inlineStr">
        <is>
          <t>Hollow shaft Ø25 H7, keyed</t>
        </is>
      </c>
      <c r="T19" s="11" t="inlineStr">
        <is>
          <t>IEC 63, 71, 80 (B14 or B5)</t>
        </is>
      </c>
      <c r="U19" s="11" t="inlineStr">
        <is>
          <t>FR/FL output flange; TR/TL torque arm; SR/SL/SD output shaft; oil 211 synthetic VG220 if required</t>
        </is>
      </c>
      <c r="V19" s="11" t="inlineStr">
        <is>
          <t>S-IRS-IRSD 2025: ratings p.61; dims p.75-76</t>
        </is>
      </c>
      <c r="W19" s="11" t="inlineStr">
        <is>
          <t>Direct size-for-size NMRV equivalent (same centre distance and hollow bore). Ratio is a standard catalogue ratio.</t>
        </is>
      </c>
      <c r="X19" s="13" t="inlineStr">
        <is>
          <t>S/SP 50</t>
        </is>
      </c>
      <c r="Y19" s="14" t="inlineStr">
        <is>
          <t>p.55 (S series aluminium worm gear units)</t>
        </is>
      </c>
      <c r="Z19" s="14" t="inlineStr">
        <is>
          <t>YES</t>
        </is>
      </c>
      <c r="AA19" s="15" t="n">
        <v>129</v>
      </c>
      <c r="AB19" s="14" t="inlineStr">
        <is>
          <t>Gearbox with IEC input flange (SP) and hollow output shaft</t>
        </is>
      </c>
      <c r="AC19" s="16">
        <f>ROUND(AA19*(1-$L$2),2)</f>
        <v/>
      </c>
      <c r="AD19" s="17">
        <f>J19*AC19</f>
        <v/>
      </c>
      <c r="AE19" s="14" t="inlineStr">
        <is>
          <t>Output flange €8.00 → net €5.20; single output shaft €9.00 → €5.85; torque arm €11.00 → €7.15</t>
        </is>
      </c>
      <c r="AF19" s="18" t="n"/>
    </row>
    <row r="20">
      <c r="A20" s="8" t="inlineStr">
        <is>
          <t>GB-016</t>
        </is>
      </c>
      <c r="B20" s="8" t="inlineStr">
        <is>
          <t>Worm Gearbox</t>
        </is>
      </c>
      <c r="C20" s="8" t="inlineStr">
        <is>
          <t>NMRV</t>
        </is>
      </c>
      <c r="D20" s="8" t="inlineStr">
        <is>
          <t>050</t>
        </is>
      </c>
      <c r="E20" s="8" t="n"/>
      <c r="F20" s="8" t="inlineStr">
        <is>
          <t>1:60</t>
        </is>
      </c>
      <c r="G20" s="8" t="inlineStr">
        <is>
          <t>Universal</t>
        </is>
      </c>
      <c r="H20" s="8" t="inlineStr">
        <is>
          <t>Hollow shaft, keyed</t>
        </is>
      </c>
      <c r="I20" s="8" t="inlineStr">
        <is>
          <t>IEC motor adaptor/input</t>
        </is>
      </c>
      <c r="J20" s="8" t="n">
        <v>2</v>
      </c>
      <c r="K20" s="9" t="inlineStr">
        <is>
          <t>S series (worm)</t>
        </is>
      </c>
      <c r="L20" s="10" t="inlineStr">
        <is>
          <t>SP 50  i=60  (IEC B14/B5 input flange, hollow output)</t>
        </is>
      </c>
      <c r="M20" s="11" t="inlineStr">
        <is>
          <t>— (motor power not specified in RFQ)</t>
        </is>
      </c>
      <c r="N20" s="12" t="n">
        <v>60</v>
      </c>
      <c r="O20" s="9" t="n">
        <v>23</v>
      </c>
      <c r="P20" s="9" t="n">
        <v>61</v>
      </c>
      <c r="Q20" s="11" t="inlineStr">
        <is>
          <t>P1 max 0.26 kW at Sf=1</t>
        </is>
      </c>
      <c r="R20" s="11" t="inlineStr">
        <is>
          <t>Reducer table n1=1400 rpm, Sf=1 (η 57%)</t>
        </is>
      </c>
      <c r="S20" s="11" t="inlineStr">
        <is>
          <t>Hollow shaft Ø25 H7, keyed</t>
        </is>
      </c>
      <c r="T20" s="11" t="inlineStr">
        <is>
          <t>IEC 63, 71, 80 (B14 or B5)</t>
        </is>
      </c>
      <c r="U20" s="11" t="inlineStr">
        <is>
          <t>FR/FL output flange; TR/TL torque arm; SR/SL/SD output shaft; oil 211 synthetic VG220 if required</t>
        </is>
      </c>
      <c r="V20" s="11" t="inlineStr">
        <is>
          <t>S-IRS-IRSD 2025: ratings p.61; dims p.75-76</t>
        </is>
      </c>
      <c r="W20" s="11" t="inlineStr">
        <is>
          <t>Direct size-for-size NMRV equivalent (same centre distance and hollow bore). Ratio is a standard catalogue ratio.</t>
        </is>
      </c>
      <c r="X20" s="13" t="inlineStr">
        <is>
          <t>S/SP 50</t>
        </is>
      </c>
      <c r="Y20" s="14" t="inlineStr">
        <is>
          <t>p.55 (S series aluminium worm gear units)</t>
        </is>
      </c>
      <c r="Z20" s="14" t="inlineStr">
        <is>
          <t>YES</t>
        </is>
      </c>
      <c r="AA20" s="15" t="n">
        <v>129</v>
      </c>
      <c r="AB20" s="14" t="inlineStr">
        <is>
          <t>Gearbox with IEC input flange (SP) and hollow output shaft</t>
        </is>
      </c>
      <c r="AC20" s="16">
        <f>ROUND(AA20*(1-$L$2),2)</f>
        <v/>
      </c>
      <c r="AD20" s="17">
        <f>J20*AC20</f>
        <v/>
      </c>
      <c r="AE20" s="14" t="inlineStr">
        <is>
          <t>Output flange €8.00 → net €5.20; single output shaft €9.00 → €5.85; torque arm €11.00 → €7.15</t>
        </is>
      </c>
      <c r="AF20" s="18" t="n"/>
    </row>
    <row r="21">
      <c r="A21" s="8" t="inlineStr">
        <is>
          <t>GB-017</t>
        </is>
      </c>
      <c r="B21" s="8" t="inlineStr">
        <is>
          <t>Worm Gearbox</t>
        </is>
      </c>
      <c r="C21" s="8" t="inlineStr">
        <is>
          <t>NMRV</t>
        </is>
      </c>
      <c r="D21" s="8" t="inlineStr">
        <is>
          <t>063</t>
        </is>
      </c>
      <c r="E21" s="8" t="n"/>
      <c r="F21" s="8" t="inlineStr">
        <is>
          <t>1:10</t>
        </is>
      </c>
      <c r="G21" s="8" t="inlineStr">
        <is>
          <t>Universal</t>
        </is>
      </c>
      <c r="H21" s="8" t="inlineStr">
        <is>
          <t>Hollow shaft, keyed</t>
        </is>
      </c>
      <c r="I21" s="8" t="inlineStr">
        <is>
          <t>IEC motor adaptor/input</t>
        </is>
      </c>
      <c r="J21" s="8" t="n">
        <v>5</v>
      </c>
      <c r="K21" s="9" t="inlineStr">
        <is>
          <t>S series (worm)</t>
        </is>
      </c>
      <c r="L21" s="10" t="inlineStr">
        <is>
          <t>SP 63  i=10  (IEC B14/B5 input flange, hollow output)</t>
        </is>
      </c>
      <c r="M21" s="11" t="inlineStr">
        <is>
          <t>— (motor power not specified in RFQ)</t>
        </is>
      </c>
      <c r="N21" s="12" t="n">
        <v>10</v>
      </c>
      <c r="O21" s="9" t="n">
        <v>140</v>
      </c>
      <c r="P21" s="9" t="n">
        <v>123</v>
      </c>
      <c r="Q21" s="11" t="inlineStr">
        <is>
          <t>P1 max 2.2 kW at Sf=1</t>
        </is>
      </c>
      <c r="R21" s="11" t="inlineStr">
        <is>
          <t>Reducer table n1=1400 rpm, Sf=1 (η 82%)</t>
        </is>
      </c>
      <c r="S21" s="11" t="inlineStr">
        <is>
          <t>Hollow shaft Ø25 H7, keyed</t>
        </is>
      </c>
      <c r="T21" s="11" t="inlineStr">
        <is>
          <t>IEC 71, 80, 90 (B14 or B5)</t>
        </is>
      </c>
      <c r="U21" s="11" t="inlineStr">
        <is>
          <t>FR/FL output flange; TR/TL torque arm; SR/SL/SD output shaft; oil 211 synthetic VG220 if required</t>
        </is>
      </c>
      <c r="V21" s="11" t="inlineStr">
        <is>
          <t>S-IRS-IRSD 2025: ratings p.61; dims p.77-78</t>
        </is>
      </c>
      <c r="W21" s="11" t="inlineStr">
        <is>
          <t>Direct size-for-size NMRV equivalent (same centre distance and hollow bore). Ratio is a standard catalogue ratio.</t>
        </is>
      </c>
      <c r="X21" s="13" t="inlineStr">
        <is>
          <t>S/SP 63</t>
        </is>
      </c>
      <c r="Y21" s="14" t="inlineStr">
        <is>
          <t>p.55 (S series aluminium worm gear units)</t>
        </is>
      </c>
      <c r="Z21" s="14" t="inlineStr">
        <is>
          <t>YES</t>
        </is>
      </c>
      <c r="AA21" s="15" t="n">
        <v>175</v>
      </c>
      <c r="AB21" s="14" t="inlineStr">
        <is>
          <t>Gearbox with IEC input flange (SP) and hollow output shaft</t>
        </is>
      </c>
      <c r="AC21" s="16">
        <f>ROUND(AA21*(1-$L$2),2)</f>
        <v/>
      </c>
      <c r="AD21" s="17">
        <f>J21*AC21</f>
        <v/>
      </c>
      <c r="AE21" s="14" t="inlineStr">
        <is>
          <t>Output flange €10.00 → net €6.50; single output shaft €11.00 → €7.15; torque arm €15.00 → €9.75</t>
        </is>
      </c>
      <c r="AF21" s="18" t="n"/>
    </row>
    <row r="22">
      <c r="A22" s="8" t="inlineStr">
        <is>
          <t>GB-018</t>
        </is>
      </c>
      <c r="B22" s="8" t="inlineStr">
        <is>
          <t>Worm Gearbox</t>
        </is>
      </c>
      <c r="C22" s="8" t="inlineStr">
        <is>
          <t>NMRV</t>
        </is>
      </c>
      <c r="D22" s="8" t="inlineStr">
        <is>
          <t>063</t>
        </is>
      </c>
      <c r="E22" s="8" t="n"/>
      <c r="F22" s="8" t="inlineStr">
        <is>
          <t>1:15</t>
        </is>
      </c>
      <c r="G22" s="8" t="inlineStr">
        <is>
          <t>Universal</t>
        </is>
      </c>
      <c r="H22" s="8" t="inlineStr">
        <is>
          <t>Hollow shaft, keyed</t>
        </is>
      </c>
      <c r="I22" s="8" t="inlineStr">
        <is>
          <t>IEC motor adaptor/input</t>
        </is>
      </c>
      <c r="J22" s="8" t="n">
        <v>4</v>
      </c>
      <c r="K22" s="9" t="inlineStr">
        <is>
          <t>S series (worm)</t>
        </is>
      </c>
      <c r="L22" s="10" t="inlineStr">
        <is>
          <t>SP 63  i=15  (IEC B14/B5 input flange, hollow output)</t>
        </is>
      </c>
      <c r="M22" s="11" t="inlineStr">
        <is>
          <t>— (motor power not specified in RFQ)</t>
        </is>
      </c>
      <c r="N22" s="12" t="n">
        <v>15</v>
      </c>
      <c r="O22" s="9" t="n">
        <v>93</v>
      </c>
      <c r="P22" s="9" t="n">
        <v>131</v>
      </c>
      <c r="Q22" s="11" t="inlineStr">
        <is>
          <t>P1 max 1.6 kW at Sf=1</t>
        </is>
      </c>
      <c r="R22" s="11" t="inlineStr">
        <is>
          <t>Reducer table n1=1400 rpm, Sf=1 (η 80%)</t>
        </is>
      </c>
      <c r="S22" s="11" t="inlineStr">
        <is>
          <t>Hollow shaft Ø25 H7, keyed</t>
        </is>
      </c>
      <c r="T22" s="11" t="inlineStr">
        <is>
          <t>IEC 71, 80, 90 (B14 or B5)</t>
        </is>
      </c>
      <c r="U22" s="11" t="inlineStr">
        <is>
          <t>FR/FL output flange; TR/TL torque arm; SR/SL/SD output shaft; oil 211 synthetic VG220 if required</t>
        </is>
      </c>
      <c r="V22" s="11" t="inlineStr">
        <is>
          <t>S-IRS-IRSD 2025: ratings p.61; dims p.77-78</t>
        </is>
      </c>
      <c r="W22" s="11" t="inlineStr">
        <is>
          <t>Direct size-for-size NMRV equivalent (same centre distance and hollow bore). Ratio is a standard catalogue ratio.</t>
        </is>
      </c>
      <c r="X22" s="13" t="inlineStr">
        <is>
          <t>S/SP 63</t>
        </is>
      </c>
      <c r="Y22" s="14" t="inlineStr">
        <is>
          <t>p.55 (S series aluminium worm gear units)</t>
        </is>
      </c>
      <c r="Z22" s="14" t="inlineStr">
        <is>
          <t>YES</t>
        </is>
      </c>
      <c r="AA22" s="15" t="n">
        <v>175</v>
      </c>
      <c r="AB22" s="14" t="inlineStr">
        <is>
          <t>Gearbox with IEC input flange (SP) and hollow output shaft</t>
        </is>
      </c>
      <c r="AC22" s="16">
        <f>ROUND(AA22*(1-$L$2),2)</f>
        <v/>
      </c>
      <c r="AD22" s="17">
        <f>J22*AC22</f>
        <v/>
      </c>
      <c r="AE22" s="14" t="inlineStr">
        <is>
          <t>Output flange €10.00 → net €6.50; single output shaft €11.00 → €7.15; torque arm €15.00 → €9.75</t>
        </is>
      </c>
      <c r="AF22" s="18" t="n"/>
    </row>
    <row r="23">
      <c r="A23" s="8" t="inlineStr">
        <is>
          <t>GB-019</t>
        </is>
      </c>
      <c r="B23" s="8" t="inlineStr">
        <is>
          <t>Worm Gearbox</t>
        </is>
      </c>
      <c r="C23" s="8" t="inlineStr">
        <is>
          <t>NMRV</t>
        </is>
      </c>
      <c r="D23" s="8" t="inlineStr">
        <is>
          <t>063</t>
        </is>
      </c>
      <c r="E23" s="8" t="n"/>
      <c r="F23" s="8" t="inlineStr">
        <is>
          <t>1:20</t>
        </is>
      </c>
      <c r="G23" s="8" t="inlineStr">
        <is>
          <t>Universal</t>
        </is>
      </c>
      <c r="H23" s="8" t="inlineStr">
        <is>
          <t>Hollow shaft, keyed</t>
        </is>
      </c>
      <c r="I23" s="8" t="inlineStr">
        <is>
          <t>IEC motor adaptor/input</t>
        </is>
      </c>
      <c r="J23" s="8" t="n">
        <v>5</v>
      </c>
      <c r="K23" s="9" t="inlineStr">
        <is>
          <t>S series (worm)</t>
        </is>
      </c>
      <c r="L23" s="10" t="inlineStr">
        <is>
          <t>SP 63  i=20  (IEC B14/B5 input flange, hollow output)</t>
        </is>
      </c>
      <c r="M23" s="11" t="inlineStr">
        <is>
          <t>— (motor power not specified in RFQ)</t>
        </is>
      </c>
      <c r="N23" s="12" t="n">
        <v>20</v>
      </c>
      <c r="O23" s="9" t="n">
        <v>70</v>
      </c>
      <c r="P23" s="9" t="n">
        <v>128</v>
      </c>
      <c r="Q23" s="11" t="inlineStr">
        <is>
          <t>P1 max 1.2 kW at Sf=1</t>
        </is>
      </c>
      <c r="R23" s="11" t="inlineStr">
        <is>
          <t>Reducer table n1=1400 rpm, Sf=1 (η 78%)</t>
        </is>
      </c>
      <c r="S23" s="11" t="inlineStr">
        <is>
          <t>Hollow shaft Ø25 H7, keyed</t>
        </is>
      </c>
      <c r="T23" s="11" t="inlineStr">
        <is>
          <t>IEC 71, 80, 90 (B14 or B5)</t>
        </is>
      </c>
      <c r="U23" s="11" t="inlineStr">
        <is>
          <t>FR/FL output flange; TR/TL torque arm; SR/SL/SD output shaft; oil 211 synthetic VG220 if required</t>
        </is>
      </c>
      <c r="V23" s="11" t="inlineStr">
        <is>
          <t>S-IRS-IRSD 2025: ratings p.61; dims p.77-78</t>
        </is>
      </c>
      <c r="W23" s="11" t="inlineStr">
        <is>
          <t>Direct size-for-size NMRV equivalent (same centre distance and hollow bore). Ratio is a standard catalogue ratio.</t>
        </is>
      </c>
      <c r="X23" s="13" t="inlineStr">
        <is>
          <t>S/SP 63</t>
        </is>
      </c>
      <c r="Y23" s="14" t="inlineStr">
        <is>
          <t>p.55 (S series aluminium worm gear units)</t>
        </is>
      </c>
      <c r="Z23" s="14" t="inlineStr">
        <is>
          <t>YES</t>
        </is>
      </c>
      <c r="AA23" s="15" t="n">
        <v>175</v>
      </c>
      <c r="AB23" s="14" t="inlineStr">
        <is>
          <t>Gearbox with IEC input flange (SP) and hollow output shaft</t>
        </is>
      </c>
      <c r="AC23" s="16">
        <f>ROUND(AA23*(1-$L$2),2)</f>
        <v/>
      </c>
      <c r="AD23" s="17">
        <f>J23*AC23</f>
        <v/>
      </c>
      <c r="AE23" s="14" t="inlineStr">
        <is>
          <t>Output flange €10.00 → net €6.50; single output shaft €11.00 → €7.15; torque arm €15.00 → €9.75</t>
        </is>
      </c>
      <c r="AF23" s="18" t="n"/>
    </row>
    <row r="24">
      <c r="A24" s="8" t="inlineStr">
        <is>
          <t>GB-020</t>
        </is>
      </c>
      <c r="B24" s="8" t="inlineStr">
        <is>
          <t>Worm Gearbox</t>
        </is>
      </c>
      <c r="C24" s="8" t="inlineStr">
        <is>
          <t>NMRV</t>
        </is>
      </c>
      <c r="D24" s="8" t="inlineStr">
        <is>
          <t>063</t>
        </is>
      </c>
      <c r="E24" s="8" t="n"/>
      <c r="F24" s="8" t="inlineStr">
        <is>
          <t>1:25</t>
        </is>
      </c>
      <c r="G24" s="8" t="inlineStr">
        <is>
          <t>Universal</t>
        </is>
      </c>
      <c r="H24" s="8" t="inlineStr">
        <is>
          <t>Hollow shaft, keyed</t>
        </is>
      </c>
      <c r="I24" s="8" t="inlineStr">
        <is>
          <t>IEC motor adaptor/input</t>
        </is>
      </c>
      <c r="J24" s="8" t="n">
        <v>3</v>
      </c>
      <c r="K24" s="9" t="inlineStr">
        <is>
          <t>S series (worm)</t>
        </is>
      </c>
      <c r="L24" s="10" t="inlineStr">
        <is>
          <t>SP 63  i=25  (IEC B14/B5 input flange, hollow output)</t>
        </is>
      </c>
      <c r="M24" s="11" t="inlineStr">
        <is>
          <t>— (motor power not specified in RFQ)</t>
        </is>
      </c>
      <c r="N24" s="12" t="n">
        <v>25</v>
      </c>
      <c r="O24" s="9" t="n">
        <v>56</v>
      </c>
      <c r="P24" s="9" t="n">
        <v>125</v>
      </c>
      <c r="Q24" s="11" t="inlineStr">
        <is>
          <t>P1 max 0.99 kW at Sf=1</t>
        </is>
      </c>
      <c r="R24" s="11" t="inlineStr">
        <is>
          <t>Reducer table n1=1400 rpm, Sf=1 (η 74%)</t>
        </is>
      </c>
      <c r="S24" s="11" t="inlineStr">
        <is>
          <t>Hollow shaft Ø25 H7, keyed</t>
        </is>
      </c>
      <c r="T24" s="11" t="inlineStr">
        <is>
          <t>IEC 71, 80, 90 (B14 or B5)</t>
        </is>
      </c>
      <c r="U24" s="11" t="inlineStr">
        <is>
          <t>FR/FL output flange; TR/TL torque arm; SR/SL/SD output shaft; oil 211 synthetic VG220 if required</t>
        </is>
      </c>
      <c r="V24" s="11" t="inlineStr">
        <is>
          <t>S-IRS-IRSD 2025: ratings p.61; dims p.77-78</t>
        </is>
      </c>
      <c r="W24" s="11" t="inlineStr">
        <is>
          <t>Direct size-for-size NMRV equivalent (same centre distance and hollow bore). Ratio is a standard catalogue ratio.</t>
        </is>
      </c>
      <c r="X24" s="13" t="inlineStr">
        <is>
          <t>S/SP 63</t>
        </is>
      </c>
      <c r="Y24" s="14" t="inlineStr">
        <is>
          <t>p.55 (S series aluminium worm gear units)</t>
        </is>
      </c>
      <c r="Z24" s="14" t="inlineStr">
        <is>
          <t>YES</t>
        </is>
      </c>
      <c r="AA24" s="15" t="n">
        <v>175</v>
      </c>
      <c r="AB24" s="14" t="inlineStr">
        <is>
          <t>Gearbox with IEC input flange (SP) and hollow output shaft</t>
        </is>
      </c>
      <c r="AC24" s="16">
        <f>ROUND(AA24*(1-$L$2),2)</f>
        <v/>
      </c>
      <c r="AD24" s="17">
        <f>J24*AC24</f>
        <v/>
      </c>
      <c r="AE24" s="14" t="inlineStr">
        <is>
          <t>Output flange €10.00 → net €6.50; single output shaft €11.00 → €7.15; torque arm €15.00 → €9.75</t>
        </is>
      </c>
      <c r="AF24" s="18" t="n"/>
    </row>
    <row r="25">
      <c r="A25" s="8" t="inlineStr">
        <is>
          <t>GB-021</t>
        </is>
      </c>
      <c r="B25" s="8" t="inlineStr">
        <is>
          <t>Worm Gearbox</t>
        </is>
      </c>
      <c r="C25" s="8" t="inlineStr">
        <is>
          <t>NMRV</t>
        </is>
      </c>
      <c r="D25" s="8" t="inlineStr">
        <is>
          <t>063</t>
        </is>
      </c>
      <c r="E25" s="8" t="n"/>
      <c r="F25" s="8" t="inlineStr">
        <is>
          <t>1:30</t>
        </is>
      </c>
      <c r="G25" s="8" t="inlineStr">
        <is>
          <t>Universal</t>
        </is>
      </c>
      <c r="H25" s="8" t="inlineStr">
        <is>
          <t>Hollow shaft, keyed</t>
        </is>
      </c>
      <c r="I25" s="8" t="inlineStr">
        <is>
          <t>IEC motor adaptor/input</t>
        </is>
      </c>
      <c r="J25" s="8" t="n">
        <v>4</v>
      </c>
      <c r="K25" s="9" t="inlineStr">
        <is>
          <t>S series (worm)</t>
        </is>
      </c>
      <c r="L25" s="10" t="inlineStr">
        <is>
          <t>SP 63  i=30  (IEC B14/B5 input flange, hollow output)</t>
        </is>
      </c>
      <c r="M25" s="11" t="inlineStr">
        <is>
          <t>— (motor power not specified in RFQ)</t>
        </is>
      </c>
      <c r="N25" s="12" t="n">
        <v>30</v>
      </c>
      <c r="O25" s="9" t="n">
        <v>47</v>
      </c>
      <c r="P25" s="9" t="n">
        <v>145</v>
      </c>
      <c r="Q25" s="11" t="inlineStr">
        <is>
          <t>P1 max 1.0 kW at Sf=1</t>
        </is>
      </c>
      <c r="R25" s="11" t="inlineStr">
        <is>
          <t>Reducer table n1=1400 rpm, Sf=1 (η 71%)</t>
        </is>
      </c>
      <c r="S25" s="11" t="inlineStr">
        <is>
          <t>Hollow shaft Ø25 H7, keyed</t>
        </is>
      </c>
      <c r="T25" s="11" t="inlineStr">
        <is>
          <t>IEC 71, 80, 90 (B14 or B5)</t>
        </is>
      </c>
      <c r="U25" s="11" t="inlineStr">
        <is>
          <t>FR/FL output flange; TR/TL torque arm; SR/SL/SD output shaft; oil 211 synthetic VG220 if required</t>
        </is>
      </c>
      <c r="V25" s="11" t="inlineStr">
        <is>
          <t>S-IRS-IRSD 2025: ratings p.61; dims p.77-78</t>
        </is>
      </c>
      <c r="W25" s="11" t="inlineStr">
        <is>
          <t>Direct size-for-size NMRV equivalent (same centre distance and hollow bore). Ratio is a standard catalogue ratio.</t>
        </is>
      </c>
      <c r="X25" s="13" t="inlineStr">
        <is>
          <t>S/SP 63</t>
        </is>
      </c>
      <c r="Y25" s="14" t="inlineStr">
        <is>
          <t>p.55 (S series aluminium worm gear units)</t>
        </is>
      </c>
      <c r="Z25" s="14" t="inlineStr">
        <is>
          <t>YES</t>
        </is>
      </c>
      <c r="AA25" s="15" t="n">
        <v>175</v>
      </c>
      <c r="AB25" s="14" t="inlineStr">
        <is>
          <t>Gearbox with IEC input flange (SP) and hollow output shaft</t>
        </is>
      </c>
      <c r="AC25" s="16">
        <f>ROUND(AA25*(1-$L$2),2)</f>
        <v/>
      </c>
      <c r="AD25" s="17">
        <f>J25*AC25</f>
        <v/>
      </c>
      <c r="AE25" s="14" t="inlineStr">
        <is>
          <t>Output flange €10.00 → net €6.50; single output shaft €11.00 → €7.15; torque arm €15.00 → €9.75</t>
        </is>
      </c>
      <c r="AF25" s="18" t="n"/>
    </row>
    <row r="26">
      <c r="A26" s="8" t="inlineStr">
        <is>
          <t>GB-022</t>
        </is>
      </c>
      <c r="B26" s="8" t="inlineStr">
        <is>
          <t>Worm Gearbox</t>
        </is>
      </c>
      <c r="C26" s="8" t="inlineStr">
        <is>
          <t>NMRV</t>
        </is>
      </c>
      <c r="D26" s="8" t="inlineStr">
        <is>
          <t>063</t>
        </is>
      </c>
      <c r="E26" s="8" t="n"/>
      <c r="F26" s="8" t="inlineStr">
        <is>
          <t>1:40</t>
        </is>
      </c>
      <c r="G26" s="8" t="inlineStr">
        <is>
          <t>Universal</t>
        </is>
      </c>
      <c r="H26" s="8" t="inlineStr">
        <is>
          <t>Hollow shaft, keyed</t>
        </is>
      </c>
      <c r="I26" s="8" t="inlineStr">
        <is>
          <t>IEC motor adaptor/input</t>
        </is>
      </c>
      <c r="J26" s="8" t="n">
        <v>4</v>
      </c>
      <c r="K26" s="9" t="inlineStr">
        <is>
          <t>S series (worm)</t>
        </is>
      </c>
      <c r="L26" s="10" t="inlineStr">
        <is>
          <t>SP 63  i=40  (IEC B14/B5 input flange, hollow output)</t>
        </is>
      </c>
      <c r="M26" s="11" t="inlineStr">
        <is>
          <t>— (motor power not specified in RFQ)</t>
        </is>
      </c>
      <c r="N26" s="12" t="n">
        <v>40</v>
      </c>
      <c r="O26" s="9" t="n">
        <v>35</v>
      </c>
      <c r="P26" s="9" t="n">
        <v>137</v>
      </c>
      <c r="Q26" s="11" t="inlineStr">
        <is>
          <t>P1 max 0.75 kW at Sf=1</t>
        </is>
      </c>
      <c r="R26" s="11" t="inlineStr">
        <is>
          <t>Reducer table n1=1400 rpm, Sf=1 (η 67%)</t>
        </is>
      </c>
      <c r="S26" s="11" t="inlineStr">
        <is>
          <t>Hollow shaft Ø25 H7, keyed</t>
        </is>
      </c>
      <c r="T26" s="11" t="inlineStr">
        <is>
          <t>IEC 71, 80, 90 (B14 or B5)</t>
        </is>
      </c>
      <c r="U26" s="11" t="inlineStr">
        <is>
          <t>FR/FL output flange; TR/TL torque arm; SR/SL/SD output shaft; oil 211 synthetic VG220 if required</t>
        </is>
      </c>
      <c r="V26" s="11" t="inlineStr">
        <is>
          <t>S-IRS-IRSD 2025: ratings p.61; dims p.77-78</t>
        </is>
      </c>
      <c r="W26" s="11" t="inlineStr">
        <is>
          <t>Direct size-for-size NMRV equivalent (same centre distance and hollow bore). Ratio is a standard catalogue ratio.</t>
        </is>
      </c>
      <c r="X26" s="13" t="inlineStr">
        <is>
          <t>S/SP 63</t>
        </is>
      </c>
      <c r="Y26" s="14" t="inlineStr">
        <is>
          <t>p.55 (S series aluminium worm gear units)</t>
        </is>
      </c>
      <c r="Z26" s="14" t="inlineStr">
        <is>
          <t>YES</t>
        </is>
      </c>
      <c r="AA26" s="15" t="n">
        <v>175</v>
      </c>
      <c r="AB26" s="14" t="inlineStr">
        <is>
          <t>Gearbox with IEC input flange (SP) and hollow output shaft</t>
        </is>
      </c>
      <c r="AC26" s="16">
        <f>ROUND(AA26*(1-$L$2),2)</f>
        <v/>
      </c>
      <c r="AD26" s="17">
        <f>J26*AC26</f>
        <v/>
      </c>
      <c r="AE26" s="14" t="inlineStr">
        <is>
          <t>Output flange €10.00 → net €6.50; single output shaft €11.00 → €7.15; torque arm €15.00 → €9.75</t>
        </is>
      </c>
      <c r="AF26" s="18" t="n"/>
    </row>
    <row r="27">
      <c r="A27" s="8" t="inlineStr">
        <is>
          <t>GB-023</t>
        </is>
      </c>
      <c r="B27" s="8" t="inlineStr">
        <is>
          <t>Worm Gearbox</t>
        </is>
      </c>
      <c r="C27" s="8" t="inlineStr">
        <is>
          <t>NMRV</t>
        </is>
      </c>
      <c r="D27" s="8" t="inlineStr">
        <is>
          <t>063</t>
        </is>
      </c>
      <c r="E27" s="8" t="n"/>
      <c r="F27" s="8" t="inlineStr">
        <is>
          <t>1:50</t>
        </is>
      </c>
      <c r="G27" s="8" t="inlineStr">
        <is>
          <t>Universal</t>
        </is>
      </c>
      <c r="H27" s="8" t="inlineStr">
        <is>
          <t>Hollow shaft, keyed</t>
        </is>
      </c>
      <c r="I27" s="8" t="inlineStr">
        <is>
          <t>IEC motor adaptor/input</t>
        </is>
      </c>
      <c r="J27" s="8" t="n">
        <v>3</v>
      </c>
      <c r="K27" s="9" t="inlineStr">
        <is>
          <t>S series (worm)</t>
        </is>
      </c>
      <c r="L27" s="10" t="inlineStr">
        <is>
          <t>SP 63  i=50  (IEC B14/B5 input flange, hollow output)</t>
        </is>
      </c>
      <c r="M27" s="11" t="inlineStr">
        <is>
          <t>— (motor power not specified in RFQ)</t>
        </is>
      </c>
      <c r="N27" s="12" t="n">
        <v>50</v>
      </c>
      <c r="O27" s="9" t="n">
        <v>28</v>
      </c>
      <c r="P27" s="9" t="n">
        <v>127</v>
      </c>
      <c r="Q27" s="11" t="inlineStr">
        <is>
          <t>P1 max 0.6 kW at Sf=1</t>
        </is>
      </c>
      <c r="R27" s="11" t="inlineStr">
        <is>
          <t>Reducer table n1=1400 rpm, Sf=1 (η 62%)</t>
        </is>
      </c>
      <c r="S27" s="11" t="inlineStr">
        <is>
          <t>Hollow shaft Ø25 H7, keyed</t>
        </is>
      </c>
      <c r="T27" s="11" t="inlineStr">
        <is>
          <t>IEC 71, 80, 90 (B14 or B5)</t>
        </is>
      </c>
      <c r="U27" s="11" t="inlineStr">
        <is>
          <t>FR/FL output flange; TR/TL torque arm; SR/SL/SD output shaft; oil 211 synthetic VG220 if required</t>
        </is>
      </c>
      <c r="V27" s="11" t="inlineStr">
        <is>
          <t>S-IRS-IRSD 2025: ratings p.61; dims p.77-78</t>
        </is>
      </c>
      <c r="W27" s="11" t="inlineStr">
        <is>
          <t>Direct size-for-size NMRV equivalent (same centre distance and hollow bore). Ratio is a standard catalogue ratio.</t>
        </is>
      </c>
      <c r="X27" s="13" t="inlineStr">
        <is>
          <t>S/SP 63</t>
        </is>
      </c>
      <c r="Y27" s="14" t="inlineStr">
        <is>
          <t>p.55 (S series aluminium worm gear units)</t>
        </is>
      </c>
      <c r="Z27" s="14" t="inlineStr">
        <is>
          <t>YES</t>
        </is>
      </c>
      <c r="AA27" s="15" t="n">
        <v>175</v>
      </c>
      <c r="AB27" s="14" t="inlineStr">
        <is>
          <t>Gearbox with IEC input flange (SP) and hollow output shaft</t>
        </is>
      </c>
      <c r="AC27" s="16">
        <f>ROUND(AA27*(1-$L$2),2)</f>
        <v/>
      </c>
      <c r="AD27" s="17">
        <f>J27*AC27</f>
        <v/>
      </c>
      <c r="AE27" s="14" t="inlineStr">
        <is>
          <t>Output flange €10.00 → net €6.50; single output shaft €11.00 → €7.15; torque arm €15.00 → €9.75</t>
        </is>
      </c>
      <c r="AF27" s="18" t="n"/>
    </row>
    <row r="28">
      <c r="A28" s="8" t="inlineStr">
        <is>
          <t>GB-024</t>
        </is>
      </c>
      <c r="B28" s="8" t="inlineStr">
        <is>
          <t>Worm Gearbox</t>
        </is>
      </c>
      <c r="C28" s="8" t="inlineStr">
        <is>
          <t>NMRV</t>
        </is>
      </c>
      <c r="D28" s="8" t="inlineStr">
        <is>
          <t>063</t>
        </is>
      </c>
      <c r="E28" s="8" t="n"/>
      <c r="F28" s="8" t="inlineStr">
        <is>
          <t>1:60</t>
        </is>
      </c>
      <c r="G28" s="8" t="inlineStr">
        <is>
          <t>Universal</t>
        </is>
      </c>
      <c r="H28" s="8" t="inlineStr">
        <is>
          <t>Hollow shaft, keyed</t>
        </is>
      </c>
      <c r="I28" s="8" t="inlineStr">
        <is>
          <t>IEC motor adaptor/input</t>
        </is>
      </c>
      <c r="J28" s="8" t="n">
        <v>2</v>
      </c>
      <c r="K28" s="9" t="inlineStr">
        <is>
          <t>S series (worm)</t>
        </is>
      </c>
      <c r="L28" s="10" t="inlineStr">
        <is>
          <t>SP 63  i=60  (IEC B14/B5 input flange, hollow output)</t>
        </is>
      </c>
      <c r="M28" s="11" t="inlineStr">
        <is>
          <t>— (motor power not specified in RFQ)</t>
        </is>
      </c>
      <c r="N28" s="12" t="n">
        <v>60</v>
      </c>
      <c r="O28" s="9" t="n">
        <v>23</v>
      </c>
      <c r="P28" s="9" t="n">
        <v>123</v>
      </c>
      <c r="Q28" s="11" t="inlineStr">
        <is>
          <t>P1 max 0.5 kW at Sf=1</t>
        </is>
      </c>
      <c r="R28" s="11" t="inlineStr">
        <is>
          <t>Reducer table n1=1400 rpm, Sf=1 (η 60%)</t>
        </is>
      </c>
      <c r="S28" s="11" t="inlineStr">
        <is>
          <t>Hollow shaft Ø25 H7, keyed</t>
        </is>
      </c>
      <c r="T28" s="11" t="inlineStr">
        <is>
          <t>IEC 71, 80, 90 (B14 or B5)</t>
        </is>
      </c>
      <c r="U28" s="11" t="inlineStr">
        <is>
          <t>FR/FL output flange; TR/TL torque arm; SR/SL/SD output shaft; oil 211 synthetic VG220 if required</t>
        </is>
      </c>
      <c r="V28" s="11" t="inlineStr">
        <is>
          <t>S-IRS-IRSD 2025: ratings p.61; dims p.77-78</t>
        </is>
      </c>
      <c r="W28" s="11" t="inlineStr">
        <is>
          <t>Direct size-for-size NMRV equivalent (same centre distance and hollow bore). Ratio is a standard catalogue ratio.</t>
        </is>
      </c>
      <c r="X28" s="13" t="inlineStr">
        <is>
          <t>S/SP 63</t>
        </is>
      </c>
      <c r="Y28" s="14" t="inlineStr">
        <is>
          <t>p.55 (S series aluminium worm gear units)</t>
        </is>
      </c>
      <c r="Z28" s="14" t="inlineStr">
        <is>
          <t>YES</t>
        </is>
      </c>
      <c r="AA28" s="15" t="n">
        <v>175</v>
      </c>
      <c r="AB28" s="14" t="inlineStr">
        <is>
          <t>Gearbox with IEC input flange (SP) and hollow output shaft</t>
        </is>
      </c>
      <c r="AC28" s="16">
        <f>ROUND(AA28*(1-$L$2),2)</f>
        <v/>
      </c>
      <c r="AD28" s="17">
        <f>J28*AC28</f>
        <v/>
      </c>
      <c r="AE28" s="14" t="inlineStr">
        <is>
          <t>Output flange €10.00 → net €6.50; single output shaft €11.00 → €7.15; torque arm €15.00 → €9.75</t>
        </is>
      </c>
      <c r="AF28" s="18" t="n"/>
    </row>
    <row r="29">
      <c r="A29" s="8" t="inlineStr">
        <is>
          <t>GB-025</t>
        </is>
      </c>
      <c r="B29" s="8" t="inlineStr">
        <is>
          <t>Worm Gearbox</t>
        </is>
      </c>
      <c r="C29" s="8" t="inlineStr">
        <is>
          <t>NMRV</t>
        </is>
      </c>
      <c r="D29" s="8" t="inlineStr">
        <is>
          <t>075</t>
        </is>
      </c>
      <c r="E29" s="8" t="n"/>
      <c r="F29" s="8" t="inlineStr">
        <is>
          <t>1:10</t>
        </is>
      </c>
      <c r="G29" s="8" t="inlineStr">
        <is>
          <t>Universal</t>
        </is>
      </c>
      <c r="H29" s="8" t="inlineStr">
        <is>
          <t>Hollow shaft, keyed</t>
        </is>
      </c>
      <c r="I29" s="8" t="inlineStr">
        <is>
          <t>IEC motor adaptor/input</t>
        </is>
      </c>
      <c r="J29" s="8" t="n">
        <v>4</v>
      </c>
      <c r="K29" s="9" t="inlineStr">
        <is>
          <t>S series (worm)</t>
        </is>
      </c>
      <c r="L29" s="10" t="inlineStr">
        <is>
          <t>SP 75  i=10  (IEC B14/B5 input flange, hollow output)</t>
        </is>
      </c>
      <c r="M29" s="11" t="inlineStr">
        <is>
          <t>— (motor power not specified in RFQ)</t>
        </is>
      </c>
      <c r="N29" s="12" t="n">
        <v>10</v>
      </c>
      <c r="O29" s="9" t="n">
        <v>140</v>
      </c>
      <c r="P29" s="9" t="n">
        <v>172</v>
      </c>
      <c r="Q29" s="11" t="inlineStr">
        <is>
          <t>P1 max 3.0 kW at Sf=1</t>
        </is>
      </c>
      <c r="R29" s="11" t="inlineStr">
        <is>
          <t>Reducer table n1=1400 rpm, Sf=1 (η 84%)</t>
        </is>
      </c>
      <c r="S29" s="11" t="inlineStr">
        <is>
          <t>Hollow shaft Ø28 H7, keyed</t>
        </is>
      </c>
      <c r="T29" s="11" t="inlineStr">
        <is>
          <t>IEC 80, 90, 100 (B14 or B5)</t>
        </is>
      </c>
      <c r="U29" s="11" t="inlineStr">
        <is>
          <t>FR/FL output flange; TR/TL torque arm; SR/SL/SD output shaft; oil 211 synthetic VG220 if required</t>
        </is>
      </c>
      <c r="V29" s="11" t="inlineStr">
        <is>
          <t>S-IRS-IRSD 2025: ratings p.62; dims p.79-80</t>
        </is>
      </c>
      <c r="W29" s="11" t="inlineStr">
        <is>
          <t>Direct size-for-size NMRV equivalent (same centre distance and hollow bore). Ratio is a standard catalogue ratio.</t>
        </is>
      </c>
      <c r="X29" s="13" t="inlineStr">
        <is>
          <t>S/SP 75</t>
        </is>
      </c>
      <c r="Y29" s="14" t="inlineStr">
        <is>
          <t>p.55 (S series aluminium worm gear units)</t>
        </is>
      </c>
      <c r="Z29" s="14" t="inlineStr">
        <is>
          <t>YES</t>
        </is>
      </c>
      <c r="AA29" s="15" t="n">
        <v>222</v>
      </c>
      <c r="AB29" s="14" t="inlineStr">
        <is>
          <t>Gearbox with IEC input flange (SP) and hollow output shaft</t>
        </is>
      </c>
      <c r="AC29" s="16">
        <f>ROUND(AA29*(1-$L$2),2)</f>
        <v/>
      </c>
      <c r="AD29" s="17">
        <f>J29*AC29</f>
        <v/>
      </c>
      <c r="AE29" s="14" t="inlineStr">
        <is>
          <t>Output flange €15.00 → net €9.75; single output shaft €15.00 → €9.75; torque arm €25.00 → €16.25</t>
        </is>
      </c>
      <c r="AF29" s="18" t="n"/>
    </row>
    <row r="30">
      <c r="A30" s="8" t="inlineStr">
        <is>
          <t>GB-026</t>
        </is>
      </c>
      <c r="B30" s="8" t="inlineStr">
        <is>
          <t>Worm Gearbox</t>
        </is>
      </c>
      <c r="C30" s="8" t="inlineStr">
        <is>
          <t>NMRV</t>
        </is>
      </c>
      <c r="D30" s="8" t="inlineStr">
        <is>
          <t>075</t>
        </is>
      </c>
      <c r="E30" s="8" t="n"/>
      <c r="F30" s="8" t="inlineStr">
        <is>
          <t>1:15</t>
        </is>
      </c>
      <c r="G30" s="8" t="inlineStr">
        <is>
          <t>Universal</t>
        </is>
      </c>
      <c r="H30" s="8" t="inlineStr">
        <is>
          <t>Hollow shaft, keyed</t>
        </is>
      </c>
      <c r="I30" s="8" t="inlineStr">
        <is>
          <t>IEC motor adaptor/input</t>
        </is>
      </c>
      <c r="J30" s="8" t="n">
        <v>3</v>
      </c>
      <c r="K30" s="9" t="inlineStr">
        <is>
          <t>S series (worm)</t>
        </is>
      </c>
      <c r="L30" s="10" t="inlineStr">
        <is>
          <t>SP 75  i=15  (IEC B14/B5 input flange, hollow output)</t>
        </is>
      </c>
      <c r="M30" s="11" t="inlineStr">
        <is>
          <t>— (motor power not specified in RFQ)</t>
        </is>
      </c>
      <c r="N30" s="12" t="n">
        <v>15</v>
      </c>
      <c r="O30" s="9" t="n">
        <v>93</v>
      </c>
      <c r="P30" s="9" t="n">
        <v>180</v>
      </c>
      <c r="Q30" s="11" t="inlineStr">
        <is>
          <t>P1 max 2.2 kW at Sf=1</t>
        </is>
      </c>
      <c r="R30" s="11" t="inlineStr">
        <is>
          <t>Reducer table n1=1400 rpm, Sf=1 (η 80%)</t>
        </is>
      </c>
      <c r="S30" s="11" t="inlineStr">
        <is>
          <t>Hollow shaft Ø28 H7, keyed</t>
        </is>
      </c>
      <c r="T30" s="11" t="inlineStr">
        <is>
          <t>IEC 80, 90, 100 (B14 or B5)</t>
        </is>
      </c>
      <c r="U30" s="11" t="inlineStr">
        <is>
          <t>FR/FL output flange; TR/TL torque arm; SR/SL/SD output shaft; oil 211 synthetic VG220 if required</t>
        </is>
      </c>
      <c r="V30" s="11" t="inlineStr">
        <is>
          <t>S-IRS-IRSD 2025: ratings p.62; dims p.79-80</t>
        </is>
      </c>
      <c r="W30" s="11" t="inlineStr">
        <is>
          <t>Direct size-for-size NMRV equivalent (same centre distance and hollow bore). Ratio is a standard catalogue ratio.</t>
        </is>
      </c>
      <c r="X30" s="13" t="inlineStr">
        <is>
          <t>S/SP 75</t>
        </is>
      </c>
      <c r="Y30" s="14" t="inlineStr">
        <is>
          <t>p.55 (S series aluminium worm gear units)</t>
        </is>
      </c>
      <c r="Z30" s="14" t="inlineStr">
        <is>
          <t>YES</t>
        </is>
      </c>
      <c r="AA30" s="15" t="n">
        <v>222</v>
      </c>
      <c r="AB30" s="14" t="inlineStr">
        <is>
          <t>Gearbox with IEC input flange (SP) and hollow output shaft</t>
        </is>
      </c>
      <c r="AC30" s="16">
        <f>ROUND(AA30*(1-$L$2),2)</f>
        <v/>
      </c>
      <c r="AD30" s="17">
        <f>J30*AC30</f>
        <v/>
      </c>
      <c r="AE30" s="14" t="inlineStr">
        <is>
          <t>Output flange €15.00 → net €9.75; single output shaft €15.00 → €9.75; torque arm €25.00 → €16.25</t>
        </is>
      </c>
      <c r="AF30" s="18" t="n"/>
    </row>
    <row r="31">
      <c r="A31" s="8" t="inlineStr">
        <is>
          <t>GB-027</t>
        </is>
      </c>
      <c r="B31" s="8" t="inlineStr">
        <is>
          <t>Worm Gearbox</t>
        </is>
      </c>
      <c r="C31" s="8" t="inlineStr">
        <is>
          <t>NMRV</t>
        </is>
      </c>
      <c r="D31" s="8" t="inlineStr">
        <is>
          <t>075</t>
        </is>
      </c>
      <c r="E31" s="8" t="n"/>
      <c r="F31" s="8" t="inlineStr">
        <is>
          <t>1:20</t>
        </is>
      </c>
      <c r="G31" s="8" t="inlineStr">
        <is>
          <t>Universal</t>
        </is>
      </c>
      <c r="H31" s="8" t="inlineStr">
        <is>
          <t>Hollow shaft, keyed</t>
        </is>
      </c>
      <c r="I31" s="8" t="inlineStr">
        <is>
          <t>IEC motor adaptor/input</t>
        </is>
      </c>
      <c r="J31" s="8" t="n">
        <v>4</v>
      </c>
      <c r="K31" s="9" t="inlineStr">
        <is>
          <t>S series (worm)</t>
        </is>
      </c>
      <c r="L31" s="10" t="inlineStr">
        <is>
          <t>SP 75  i=20  (IEC B14/B5 input flange, hollow output)</t>
        </is>
      </c>
      <c r="M31" s="11" t="inlineStr">
        <is>
          <t>— (motor power not specified in RFQ)</t>
        </is>
      </c>
      <c r="N31" s="12" t="n">
        <v>20</v>
      </c>
      <c r="O31" s="9" t="n">
        <v>70</v>
      </c>
      <c r="P31" s="9" t="n">
        <v>192</v>
      </c>
      <c r="Q31" s="11" t="inlineStr">
        <is>
          <t>P1 max 1.8 kW at Sf=1</t>
        </is>
      </c>
      <c r="R31" s="11" t="inlineStr">
        <is>
          <t>Reducer table n1=1400 rpm, Sf=1 (η 78%)</t>
        </is>
      </c>
      <c r="S31" s="11" t="inlineStr">
        <is>
          <t>Hollow shaft Ø28 H7, keyed</t>
        </is>
      </c>
      <c r="T31" s="11" t="inlineStr">
        <is>
          <t>IEC 80, 90, 100 (B14 or B5)</t>
        </is>
      </c>
      <c r="U31" s="11" t="inlineStr">
        <is>
          <t>FR/FL output flange; TR/TL torque arm; SR/SL/SD output shaft; oil 211 synthetic VG220 if required</t>
        </is>
      </c>
      <c r="V31" s="11" t="inlineStr">
        <is>
          <t>S-IRS-IRSD 2025: ratings p.62; dims p.79-80</t>
        </is>
      </c>
      <c r="W31" s="11" t="inlineStr">
        <is>
          <t>Direct size-for-size NMRV equivalent (same centre distance and hollow bore). Ratio is a standard catalogue ratio.</t>
        </is>
      </c>
      <c r="X31" s="13" t="inlineStr">
        <is>
          <t>S/SP 75</t>
        </is>
      </c>
      <c r="Y31" s="14" t="inlineStr">
        <is>
          <t>p.55 (S series aluminium worm gear units)</t>
        </is>
      </c>
      <c r="Z31" s="14" t="inlineStr">
        <is>
          <t>YES</t>
        </is>
      </c>
      <c r="AA31" s="15" t="n">
        <v>222</v>
      </c>
      <c r="AB31" s="14" t="inlineStr">
        <is>
          <t>Gearbox with IEC input flange (SP) and hollow output shaft</t>
        </is>
      </c>
      <c r="AC31" s="16">
        <f>ROUND(AA31*(1-$L$2),2)</f>
        <v/>
      </c>
      <c r="AD31" s="17">
        <f>J31*AC31</f>
        <v/>
      </c>
      <c r="AE31" s="14" t="inlineStr">
        <is>
          <t>Output flange €15.00 → net €9.75; single output shaft €15.00 → €9.75; torque arm €25.00 → €16.25</t>
        </is>
      </c>
      <c r="AF31" s="18" t="n"/>
    </row>
    <row r="32">
      <c r="A32" s="8" t="inlineStr">
        <is>
          <t>GB-028</t>
        </is>
      </c>
      <c r="B32" s="8" t="inlineStr">
        <is>
          <t>Worm Gearbox</t>
        </is>
      </c>
      <c r="C32" s="8" t="inlineStr">
        <is>
          <t>NMRV</t>
        </is>
      </c>
      <c r="D32" s="8" t="inlineStr">
        <is>
          <t>075</t>
        </is>
      </c>
      <c r="E32" s="8" t="n"/>
      <c r="F32" s="8" t="inlineStr">
        <is>
          <t>1:25</t>
        </is>
      </c>
      <c r="G32" s="8" t="inlineStr">
        <is>
          <t>Universal</t>
        </is>
      </c>
      <c r="H32" s="8" t="inlineStr">
        <is>
          <t>Hollow shaft, keyed</t>
        </is>
      </c>
      <c r="I32" s="8" t="inlineStr">
        <is>
          <t>IEC motor adaptor/input</t>
        </is>
      </c>
      <c r="J32" s="8" t="n">
        <v>2</v>
      </c>
      <c r="K32" s="9" t="inlineStr">
        <is>
          <t>S series (worm)</t>
        </is>
      </c>
      <c r="L32" s="10" t="inlineStr">
        <is>
          <t>SP 75  i=25  (IEC B14/B5 input flange, hollow output)</t>
        </is>
      </c>
      <c r="M32" s="11" t="inlineStr">
        <is>
          <t>— (motor power not specified in RFQ)</t>
        </is>
      </c>
      <c r="N32" s="12" t="n">
        <v>25</v>
      </c>
      <c r="O32" s="9" t="n">
        <v>56</v>
      </c>
      <c r="P32" s="9" t="n">
        <v>194</v>
      </c>
      <c r="Q32" s="11" t="inlineStr">
        <is>
          <t>P1 max 1.5 kW at Sf=1</t>
        </is>
      </c>
      <c r="R32" s="11" t="inlineStr">
        <is>
          <t>Reducer table n1=1400 rpm, Sf=1 (η 76%)</t>
        </is>
      </c>
      <c r="S32" s="11" t="inlineStr">
        <is>
          <t>Hollow shaft Ø28 H7, keyed</t>
        </is>
      </c>
      <c r="T32" s="11" t="inlineStr">
        <is>
          <t>IEC 80, 90, 100 (B14 or B5)</t>
        </is>
      </c>
      <c r="U32" s="11" t="inlineStr">
        <is>
          <t>FR/FL output flange; TR/TL torque arm; SR/SL/SD output shaft; oil 211 synthetic VG220 if required</t>
        </is>
      </c>
      <c r="V32" s="11" t="inlineStr">
        <is>
          <t>S-IRS-IRSD 2025: ratings p.62; dims p.79-80</t>
        </is>
      </c>
      <c r="W32" s="11" t="inlineStr">
        <is>
          <t>Direct size-for-size NMRV equivalent (same centre distance and hollow bore). Ratio is a standard catalogue ratio.</t>
        </is>
      </c>
      <c r="X32" s="13" t="inlineStr">
        <is>
          <t>S/SP 75</t>
        </is>
      </c>
      <c r="Y32" s="14" t="inlineStr">
        <is>
          <t>p.55 (S series aluminium worm gear units)</t>
        </is>
      </c>
      <c r="Z32" s="14" t="inlineStr">
        <is>
          <t>YES</t>
        </is>
      </c>
      <c r="AA32" s="15" t="n">
        <v>222</v>
      </c>
      <c r="AB32" s="14" t="inlineStr">
        <is>
          <t>Gearbox with IEC input flange (SP) and hollow output shaft</t>
        </is>
      </c>
      <c r="AC32" s="16">
        <f>ROUND(AA32*(1-$L$2),2)</f>
        <v/>
      </c>
      <c r="AD32" s="17">
        <f>J32*AC32</f>
        <v/>
      </c>
      <c r="AE32" s="14" t="inlineStr">
        <is>
          <t>Output flange €15.00 → net €9.75; single output shaft €15.00 → €9.75; torque arm €25.00 → €16.25</t>
        </is>
      </c>
      <c r="AF32" s="18" t="n"/>
    </row>
    <row r="33">
      <c r="A33" s="8" t="inlineStr">
        <is>
          <t>GB-029</t>
        </is>
      </c>
      <c r="B33" s="8" t="inlineStr">
        <is>
          <t>Worm Gearbox</t>
        </is>
      </c>
      <c r="C33" s="8" t="inlineStr">
        <is>
          <t>NMRV</t>
        </is>
      </c>
      <c r="D33" s="8" t="inlineStr">
        <is>
          <t>075</t>
        </is>
      </c>
      <c r="E33" s="8" t="n"/>
      <c r="F33" s="8" t="inlineStr">
        <is>
          <t>1:30</t>
        </is>
      </c>
      <c r="G33" s="8" t="inlineStr">
        <is>
          <t>Universal</t>
        </is>
      </c>
      <c r="H33" s="8" t="inlineStr">
        <is>
          <t>Hollow shaft, keyed</t>
        </is>
      </c>
      <c r="I33" s="8" t="inlineStr">
        <is>
          <t>IEC motor adaptor/input</t>
        </is>
      </c>
      <c r="J33" s="8" t="n">
        <v>4</v>
      </c>
      <c r="K33" s="9" t="inlineStr">
        <is>
          <t>S series (worm)</t>
        </is>
      </c>
      <c r="L33" s="10" t="inlineStr">
        <is>
          <t>SP 75  i=30  (IEC B14/B5 input flange, hollow output)</t>
        </is>
      </c>
      <c r="M33" s="11" t="inlineStr">
        <is>
          <t>— (motor power not specified in RFQ)</t>
        </is>
      </c>
      <c r="N33" s="12" t="n">
        <v>30</v>
      </c>
      <c r="O33" s="9" t="n">
        <v>47</v>
      </c>
      <c r="P33" s="9" t="n">
        <v>221</v>
      </c>
      <c r="Q33" s="11" t="inlineStr">
        <is>
          <t>P1 max 1.5 kW at Sf=1</t>
        </is>
      </c>
      <c r="R33" s="11" t="inlineStr">
        <is>
          <t>Reducer table n1=1400 rpm, Sf=1 (η 72%)</t>
        </is>
      </c>
      <c r="S33" s="11" t="inlineStr">
        <is>
          <t>Hollow shaft Ø28 H7, keyed</t>
        </is>
      </c>
      <c r="T33" s="11" t="inlineStr">
        <is>
          <t>IEC 80, 90, 100 (B14 or B5)</t>
        </is>
      </c>
      <c r="U33" s="11" t="inlineStr">
        <is>
          <t>FR/FL output flange; TR/TL torque arm; SR/SL/SD output shaft; oil 211 synthetic VG220 if required</t>
        </is>
      </c>
      <c r="V33" s="11" t="inlineStr">
        <is>
          <t>S-IRS-IRSD 2025: ratings p.62; dims p.79-80</t>
        </is>
      </c>
      <c r="W33" s="11" t="inlineStr">
        <is>
          <t>Direct size-for-size NMRV equivalent (same centre distance and hollow bore). Ratio is a standard catalogue ratio.</t>
        </is>
      </c>
      <c r="X33" s="13" t="inlineStr">
        <is>
          <t>S/SP 75</t>
        </is>
      </c>
      <c r="Y33" s="14" t="inlineStr">
        <is>
          <t>p.55 (S series aluminium worm gear units)</t>
        </is>
      </c>
      <c r="Z33" s="14" t="inlineStr">
        <is>
          <t>YES</t>
        </is>
      </c>
      <c r="AA33" s="15" t="n">
        <v>222</v>
      </c>
      <c r="AB33" s="14" t="inlineStr">
        <is>
          <t>Gearbox with IEC input flange (SP) and hollow output shaft</t>
        </is>
      </c>
      <c r="AC33" s="16">
        <f>ROUND(AA33*(1-$L$2),2)</f>
        <v/>
      </c>
      <c r="AD33" s="17">
        <f>J33*AC33</f>
        <v/>
      </c>
      <c r="AE33" s="14" t="inlineStr">
        <is>
          <t>Output flange €15.00 → net €9.75; single output shaft €15.00 → €9.75; torque arm €25.00 → €16.25</t>
        </is>
      </c>
      <c r="AF33" s="18" t="n"/>
    </row>
    <row r="34">
      <c r="A34" s="8" t="inlineStr">
        <is>
          <t>GB-030</t>
        </is>
      </c>
      <c r="B34" s="8" t="inlineStr">
        <is>
          <t>Worm Gearbox</t>
        </is>
      </c>
      <c r="C34" s="8" t="inlineStr">
        <is>
          <t>NMRV</t>
        </is>
      </c>
      <c r="D34" s="8" t="inlineStr">
        <is>
          <t>075</t>
        </is>
      </c>
      <c r="E34" s="8" t="n"/>
      <c r="F34" s="8" t="inlineStr">
        <is>
          <t>1:40</t>
        </is>
      </c>
      <c r="G34" s="8" t="inlineStr">
        <is>
          <t>Universal</t>
        </is>
      </c>
      <c r="H34" s="8" t="inlineStr">
        <is>
          <t>Hollow shaft, keyed</t>
        </is>
      </c>
      <c r="I34" s="8" t="inlineStr">
        <is>
          <t>IEC motor adaptor/input</t>
        </is>
      </c>
      <c r="J34" s="8" t="n">
        <v>3</v>
      </c>
      <c r="K34" s="9" t="inlineStr">
        <is>
          <t>S series (worm)</t>
        </is>
      </c>
      <c r="L34" s="10" t="inlineStr">
        <is>
          <t>SP 75  i=40  (IEC B14/B5 input flange, hollow output)</t>
        </is>
      </c>
      <c r="M34" s="11" t="inlineStr">
        <is>
          <t>— (motor power not specified in RFQ)</t>
        </is>
      </c>
      <c r="N34" s="12" t="n">
        <v>40</v>
      </c>
      <c r="O34" s="9" t="n">
        <v>35</v>
      </c>
      <c r="P34" s="9" t="n">
        <v>201</v>
      </c>
      <c r="Q34" s="11" t="inlineStr">
        <is>
          <t>P1 max 1.1 kW at Sf=1</t>
        </is>
      </c>
      <c r="R34" s="11" t="inlineStr">
        <is>
          <t>Reducer table n1=1400 rpm, Sf=1 (η 67%)</t>
        </is>
      </c>
      <c r="S34" s="11" t="inlineStr">
        <is>
          <t>Hollow shaft Ø28 H7, keyed</t>
        </is>
      </c>
      <c r="T34" s="11" t="inlineStr">
        <is>
          <t>IEC 80, 90, 100 (B14 or B5)</t>
        </is>
      </c>
      <c r="U34" s="11" t="inlineStr">
        <is>
          <t>FR/FL output flange; TR/TL torque arm; SR/SL/SD output shaft; oil 211 synthetic VG220 if required</t>
        </is>
      </c>
      <c r="V34" s="11" t="inlineStr">
        <is>
          <t>S-IRS-IRSD 2025: ratings p.61; dims p.79-80</t>
        </is>
      </c>
      <c r="W34" s="11" t="inlineStr">
        <is>
          <t>Direct size-for-size NMRV equivalent (same centre distance and hollow bore). Ratio is a standard catalogue ratio.</t>
        </is>
      </c>
      <c r="X34" s="13" t="inlineStr">
        <is>
          <t>S/SP 75</t>
        </is>
      </c>
      <c r="Y34" s="14" t="inlineStr">
        <is>
          <t>p.55 (S series aluminium worm gear units)</t>
        </is>
      </c>
      <c r="Z34" s="14" t="inlineStr">
        <is>
          <t>YES</t>
        </is>
      </c>
      <c r="AA34" s="15" t="n">
        <v>222</v>
      </c>
      <c r="AB34" s="14" t="inlineStr">
        <is>
          <t>Gearbox with IEC input flange (SP) and hollow output shaft</t>
        </is>
      </c>
      <c r="AC34" s="16">
        <f>ROUND(AA34*(1-$L$2),2)</f>
        <v/>
      </c>
      <c r="AD34" s="17">
        <f>J34*AC34</f>
        <v/>
      </c>
      <c r="AE34" s="14" t="inlineStr">
        <is>
          <t>Output flange €15.00 → net €9.75; single output shaft €15.00 → €9.75; torque arm €25.00 → €16.25</t>
        </is>
      </c>
      <c r="AF34" s="18" t="n"/>
    </row>
    <row r="35">
      <c r="A35" s="8" t="inlineStr">
        <is>
          <t>GB-031</t>
        </is>
      </c>
      <c r="B35" s="8" t="inlineStr">
        <is>
          <t>Worm Gearbox</t>
        </is>
      </c>
      <c r="C35" s="8" t="inlineStr">
        <is>
          <t>NMRV</t>
        </is>
      </c>
      <c r="D35" s="8" t="inlineStr">
        <is>
          <t>075</t>
        </is>
      </c>
      <c r="E35" s="8" t="n"/>
      <c r="F35" s="8" t="inlineStr">
        <is>
          <t>1:50</t>
        </is>
      </c>
      <c r="G35" s="8" t="inlineStr">
        <is>
          <t>Universal</t>
        </is>
      </c>
      <c r="H35" s="8" t="inlineStr">
        <is>
          <t>Hollow shaft, keyed</t>
        </is>
      </c>
      <c r="I35" s="8" t="inlineStr">
        <is>
          <t>IEC motor adaptor/input</t>
        </is>
      </c>
      <c r="J35" s="8" t="n">
        <v>3</v>
      </c>
      <c r="K35" s="9" t="inlineStr">
        <is>
          <t>S series (worm)</t>
        </is>
      </c>
      <c r="L35" s="10" t="inlineStr">
        <is>
          <t>SP 75  i=50  (IEC B14/B5 input flange, hollow output)</t>
        </is>
      </c>
      <c r="M35" s="11" t="inlineStr">
        <is>
          <t>— (motor power not specified in RFQ)</t>
        </is>
      </c>
      <c r="N35" s="12" t="n">
        <v>50</v>
      </c>
      <c r="O35" s="9" t="n">
        <v>28</v>
      </c>
      <c r="P35" s="9" t="n">
        <v>183</v>
      </c>
      <c r="Q35" s="11" t="inlineStr">
        <is>
          <t>P1 max 0.85 kW at Sf=1</t>
        </is>
      </c>
      <c r="R35" s="11" t="inlineStr">
        <is>
          <t>Reducer table n1=1400 rpm, Sf=1 (η 63%)</t>
        </is>
      </c>
      <c r="S35" s="11" t="inlineStr">
        <is>
          <t>Hollow shaft Ø28 H7, keyed</t>
        </is>
      </c>
      <c r="T35" s="11" t="inlineStr">
        <is>
          <t>IEC 80, 90, 100 (B14 or B5)</t>
        </is>
      </c>
      <c r="U35" s="11" t="inlineStr">
        <is>
          <t>FR/FL output flange; TR/TL torque arm; SR/SL/SD output shaft; oil 211 synthetic VG220 if required</t>
        </is>
      </c>
      <c r="V35" s="11" t="inlineStr">
        <is>
          <t>S-IRS-IRSD 2025: ratings p.61; dims p.79-80</t>
        </is>
      </c>
      <c r="W35" s="11" t="inlineStr">
        <is>
          <t>Direct size-for-size NMRV equivalent (same centre distance and hollow bore). Ratio is a standard catalogue ratio.</t>
        </is>
      </c>
      <c r="X35" s="13" t="inlineStr">
        <is>
          <t>S/SP 75</t>
        </is>
      </c>
      <c r="Y35" s="14" t="inlineStr">
        <is>
          <t>p.55 (S series aluminium worm gear units)</t>
        </is>
      </c>
      <c r="Z35" s="14" t="inlineStr">
        <is>
          <t>YES</t>
        </is>
      </c>
      <c r="AA35" s="15" t="n">
        <v>222</v>
      </c>
      <c r="AB35" s="14" t="inlineStr">
        <is>
          <t>Gearbox with IEC input flange (SP) and hollow output shaft</t>
        </is>
      </c>
      <c r="AC35" s="16">
        <f>ROUND(AA35*(1-$L$2),2)</f>
        <v/>
      </c>
      <c r="AD35" s="17">
        <f>J35*AC35</f>
        <v/>
      </c>
      <c r="AE35" s="14" t="inlineStr">
        <is>
          <t>Output flange €15.00 → net €9.75; single output shaft €15.00 → €9.75; torque arm €25.00 → €16.25</t>
        </is>
      </c>
      <c r="AF35" s="18" t="n"/>
    </row>
    <row r="36">
      <c r="A36" s="8" t="inlineStr">
        <is>
          <t>GB-032</t>
        </is>
      </c>
      <c r="B36" s="8" t="inlineStr">
        <is>
          <t>Worm Gearbox</t>
        </is>
      </c>
      <c r="C36" s="8" t="inlineStr">
        <is>
          <t>NMRV</t>
        </is>
      </c>
      <c r="D36" s="8" t="inlineStr">
        <is>
          <t>075</t>
        </is>
      </c>
      <c r="E36" s="8" t="n"/>
      <c r="F36" s="8" t="inlineStr">
        <is>
          <t>1:60</t>
        </is>
      </c>
      <c r="G36" s="8" t="inlineStr">
        <is>
          <t>Universal</t>
        </is>
      </c>
      <c r="H36" s="8" t="inlineStr">
        <is>
          <t>Hollow shaft, keyed</t>
        </is>
      </c>
      <c r="I36" s="8" t="inlineStr">
        <is>
          <t>IEC motor adaptor/input</t>
        </is>
      </c>
      <c r="J36" s="8" t="n">
        <v>2</v>
      </c>
      <c r="K36" s="9" t="inlineStr">
        <is>
          <t>S series (worm)</t>
        </is>
      </c>
      <c r="L36" s="10" t="inlineStr">
        <is>
          <t>SP 75  i=60  (IEC B14/B5 input flange, hollow output)</t>
        </is>
      </c>
      <c r="M36" s="11" t="inlineStr">
        <is>
          <t>— (motor power not specified in RFQ)</t>
        </is>
      </c>
      <c r="N36" s="12" t="n">
        <v>60</v>
      </c>
      <c r="O36" s="9" t="n">
        <v>23</v>
      </c>
      <c r="P36" s="9" t="n">
        <v>184</v>
      </c>
      <c r="Q36" s="11" t="inlineStr">
        <is>
          <t>P1 max 0.75 kW at Sf=1</t>
        </is>
      </c>
      <c r="R36" s="11" t="inlineStr">
        <is>
          <t>Reducer table n1=1400 rpm, Sf=1 (η 60%)</t>
        </is>
      </c>
      <c r="S36" s="11" t="inlineStr">
        <is>
          <t>Hollow shaft Ø28 H7, keyed</t>
        </is>
      </c>
      <c r="T36" s="11" t="inlineStr">
        <is>
          <t>IEC 80, 90, 100 (B14 or B5)</t>
        </is>
      </c>
      <c r="U36" s="11" t="inlineStr">
        <is>
          <t>FR/FL output flange; TR/TL torque arm; SR/SL/SD output shaft; oil 211 synthetic VG220 if required</t>
        </is>
      </c>
      <c r="V36" s="11" t="inlineStr">
        <is>
          <t>S-IRS-IRSD 2025: ratings p.61; dims p.79-80</t>
        </is>
      </c>
      <c r="W36" s="11" t="inlineStr">
        <is>
          <t>Direct size-for-size NMRV equivalent (same centre distance and hollow bore). Ratio is a standard catalogue ratio.</t>
        </is>
      </c>
      <c r="X36" s="13" t="inlineStr">
        <is>
          <t>S/SP 75</t>
        </is>
      </c>
      <c r="Y36" s="14" t="inlineStr">
        <is>
          <t>p.55 (S series aluminium worm gear units)</t>
        </is>
      </c>
      <c r="Z36" s="14" t="inlineStr">
        <is>
          <t>YES</t>
        </is>
      </c>
      <c r="AA36" s="15" t="n">
        <v>222</v>
      </c>
      <c r="AB36" s="14" t="inlineStr">
        <is>
          <t>Gearbox with IEC input flange (SP) and hollow output shaft</t>
        </is>
      </c>
      <c r="AC36" s="16">
        <f>ROUND(AA36*(1-$L$2),2)</f>
        <v/>
      </c>
      <c r="AD36" s="17">
        <f>J36*AC36</f>
        <v/>
      </c>
      <c r="AE36" s="14" t="inlineStr">
        <is>
          <t>Output flange €15.00 → net €9.75; single output shaft €15.00 → €9.75; torque arm €25.00 → €16.25</t>
        </is>
      </c>
      <c r="AF36" s="18" t="n"/>
    </row>
    <row r="37">
      <c r="A37" s="8" t="inlineStr">
        <is>
          <t>GB-033</t>
        </is>
      </c>
      <c r="B37" s="8" t="inlineStr">
        <is>
          <t>Worm Gearbox</t>
        </is>
      </c>
      <c r="C37" s="8" t="inlineStr">
        <is>
          <t>NMRV</t>
        </is>
      </c>
      <c r="D37" s="8" t="inlineStr">
        <is>
          <t>090</t>
        </is>
      </c>
      <c r="E37" s="8" t="n"/>
      <c r="F37" s="8" t="inlineStr">
        <is>
          <t>1:10</t>
        </is>
      </c>
      <c r="G37" s="8" t="inlineStr">
        <is>
          <t>Universal</t>
        </is>
      </c>
      <c r="H37" s="8" t="inlineStr">
        <is>
          <t>Hollow shaft, keyed</t>
        </is>
      </c>
      <c r="I37" s="8" t="inlineStr">
        <is>
          <t>IEC motor adaptor/input</t>
        </is>
      </c>
      <c r="J37" s="8" t="n">
        <v>3</v>
      </c>
      <c r="K37" s="9" t="inlineStr">
        <is>
          <t>S series (worm)</t>
        </is>
      </c>
      <c r="L37" s="10" t="inlineStr">
        <is>
          <t>SP 90  i=10  (IEC B14/B5 input flange, hollow output)</t>
        </is>
      </c>
      <c r="M37" s="11" t="inlineStr">
        <is>
          <t>— (motor power not specified in RFQ)</t>
        </is>
      </c>
      <c r="N37" s="12" t="n">
        <v>10</v>
      </c>
      <c r="O37" s="9" t="n">
        <v>140</v>
      </c>
      <c r="P37" s="9" t="n">
        <v>310</v>
      </c>
      <c r="Q37" s="11" t="inlineStr">
        <is>
          <t>P1 max 5.1 kW at Sf=1</t>
        </is>
      </c>
      <c r="R37" s="11" t="inlineStr">
        <is>
          <t>Reducer table n1=1400 rpm, Sf=1 (η 89%)</t>
        </is>
      </c>
      <c r="S37" s="11" t="inlineStr">
        <is>
          <t>Hollow shaft Ø35 H7, keyed</t>
        </is>
      </c>
      <c r="T37" s="11" t="inlineStr">
        <is>
          <t>IEC 80, 90, 100, 112 (B14 or B5)</t>
        </is>
      </c>
      <c r="U37" s="11" t="inlineStr">
        <is>
          <t>FR/FL output flange; TR/TL torque arm; SR/SL/SD output shaft; oil 211 synthetic VG220 if required</t>
        </is>
      </c>
      <c r="V37" s="11" t="inlineStr">
        <is>
          <t>S-IRS-IRSD 2025: ratings p.62; dims p.81-82</t>
        </is>
      </c>
      <c r="W37" s="11" t="inlineStr">
        <is>
          <t>Direct size-for-size NMRV equivalent (same centre distance and hollow bore). Ratio is a standard catalogue ratio.</t>
        </is>
      </c>
      <c r="X37" s="13" t="inlineStr">
        <is>
          <t>S/SP 90</t>
        </is>
      </c>
      <c r="Y37" s="14" t="inlineStr">
        <is>
          <t>p.55 (S series aluminium worm gear units)</t>
        </is>
      </c>
      <c r="Z37" s="14" t="inlineStr">
        <is>
          <t>YES</t>
        </is>
      </c>
      <c r="AA37" s="15" t="n">
        <v>309</v>
      </c>
      <c r="AB37" s="14" t="inlineStr">
        <is>
          <t>Gearbox with IEC input flange (SP) and hollow output shaft</t>
        </is>
      </c>
      <c r="AC37" s="16">
        <f>ROUND(AA37*(1-$L$2),2)</f>
        <v/>
      </c>
      <c r="AD37" s="17">
        <f>J37*AC37</f>
        <v/>
      </c>
      <c r="AE37" s="14" t="inlineStr">
        <is>
          <t>Output flange €23.00 → net €14.95; single output shaft €24.00 → €15.60; torque arm €40.00 → €26.00</t>
        </is>
      </c>
      <c r="AF37" s="18" t="n"/>
    </row>
    <row r="38">
      <c r="A38" s="8" t="inlineStr">
        <is>
          <t>GB-034</t>
        </is>
      </c>
      <c r="B38" s="8" t="inlineStr">
        <is>
          <t>Worm Gearbox</t>
        </is>
      </c>
      <c r="C38" s="8" t="inlineStr">
        <is>
          <t>NMRV</t>
        </is>
      </c>
      <c r="D38" s="8" t="inlineStr">
        <is>
          <t>090</t>
        </is>
      </c>
      <c r="E38" s="8" t="n"/>
      <c r="F38" s="8" t="inlineStr">
        <is>
          <t>1:15</t>
        </is>
      </c>
      <c r="G38" s="8" t="inlineStr">
        <is>
          <t>Universal</t>
        </is>
      </c>
      <c r="H38" s="8" t="inlineStr">
        <is>
          <t>Hollow shaft, keyed</t>
        </is>
      </c>
      <c r="I38" s="8" t="inlineStr">
        <is>
          <t>IEC motor adaptor/input</t>
        </is>
      </c>
      <c r="J38" s="8" t="n">
        <v>2</v>
      </c>
      <c r="K38" s="9" t="inlineStr">
        <is>
          <t>S series (worm)</t>
        </is>
      </c>
      <c r="L38" s="10" t="inlineStr">
        <is>
          <t>SP 90  i=15  (IEC B14/B5 input flange, hollow output)</t>
        </is>
      </c>
      <c r="M38" s="11" t="inlineStr">
        <is>
          <t>— (motor power not specified in RFQ)</t>
        </is>
      </c>
      <c r="N38" s="12" t="n">
        <v>15</v>
      </c>
      <c r="O38" s="9" t="n">
        <v>93</v>
      </c>
      <c r="P38" s="9" t="n">
        <v>361</v>
      </c>
      <c r="Q38" s="11" t="inlineStr">
        <is>
          <t>P1 max 4.1 kW at Sf=1</t>
        </is>
      </c>
      <c r="R38" s="11" t="inlineStr">
        <is>
          <t>Reducer table n1=1400 rpm, Sf=1 (η 86%)</t>
        </is>
      </c>
      <c r="S38" s="11" t="inlineStr">
        <is>
          <t>Hollow shaft Ø35 H7, keyed</t>
        </is>
      </c>
      <c r="T38" s="11" t="inlineStr">
        <is>
          <t>IEC 80, 90, 100, 112 (B14 or B5)</t>
        </is>
      </c>
      <c r="U38" s="11" t="inlineStr">
        <is>
          <t>FR/FL output flange; TR/TL torque arm; SR/SL/SD output shaft; oil 211 synthetic VG220 if required</t>
        </is>
      </c>
      <c r="V38" s="11" t="inlineStr">
        <is>
          <t>S-IRS-IRSD 2025: ratings p.62; dims p.81-82</t>
        </is>
      </c>
      <c r="W38" s="11" t="inlineStr">
        <is>
          <t>Direct size-for-size NMRV equivalent (same centre distance and hollow bore). Ratio is a standard catalogue ratio.</t>
        </is>
      </c>
      <c r="X38" s="13" t="inlineStr">
        <is>
          <t>S/SP 90</t>
        </is>
      </c>
      <c r="Y38" s="14" t="inlineStr">
        <is>
          <t>p.55 (S series aluminium worm gear units)</t>
        </is>
      </c>
      <c r="Z38" s="14" t="inlineStr">
        <is>
          <t>YES</t>
        </is>
      </c>
      <c r="AA38" s="15" t="n">
        <v>309</v>
      </c>
      <c r="AB38" s="14" t="inlineStr">
        <is>
          <t>Gearbox with IEC input flange (SP) and hollow output shaft</t>
        </is>
      </c>
      <c r="AC38" s="16">
        <f>ROUND(AA38*(1-$L$2),2)</f>
        <v/>
      </c>
      <c r="AD38" s="17">
        <f>J38*AC38</f>
        <v/>
      </c>
      <c r="AE38" s="14" t="inlineStr">
        <is>
          <t>Output flange €23.00 → net €14.95; single output shaft €24.00 → €15.60; torque arm €40.00 → €26.00</t>
        </is>
      </c>
      <c r="AF38" s="18" t="n"/>
    </row>
    <row r="39">
      <c r="A39" s="8" t="inlineStr">
        <is>
          <t>GB-035</t>
        </is>
      </c>
      <c r="B39" s="8" t="inlineStr">
        <is>
          <t>Worm Gearbox</t>
        </is>
      </c>
      <c r="C39" s="8" t="inlineStr">
        <is>
          <t>NMRV</t>
        </is>
      </c>
      <c r="D39" s="8" t="inlineStr">
        <is>
          <t>090</t>
        </is>
      </c>
      <c r="E39" s="8" t="n"/>
      <c r="F39" s="8" t="inlineStr">
        <is>
          <t>1:20</t>
        </is>
      </c>
      <c r="G39" s="8" t="inlineStr">
        <is>
          <t>Universal</t>
        </is>
      </c>
      <c r="H39" s="8" t="inlineStr">
        <is>
          <t>Hollow shaft, keyed</t>
        </is>
      </c>
      <c r="I39" s="8" t="inlineStr">
        <is>
          <t>IEC motor adaptor/input</t>
        </is>
      </c>
      <c r="J39" s="8" t="n">
        <v>3</v>
      </c>
      <c r="K39" s="9" t="inlineStr">
        <is>
          <t>S series (worm)</t>
        </is>
      </c>
      <c r="L39" s="10" t="inlineStr">
        <is>
          <t>SP 90  i=20  (IEC B14/B5 input flange, hollow output)</t>
        </is>
      </c>
      <c r="M39" s="11" t="inlineStr">
        <is>
          <t>— (motor power not specified in RFQ)</t>
        </is>
      </c>
      <c r="N39" s="12" t="n">
        <v>20</v>
      </c>
      <c r="O39" s="9" t="n">
        <v>70</v>
      </c>
      <c r="P39" s="9" t="n">
        <v>355</v>
      </c>
      <c r="Q39" s="11" t="inlineStr">
        <is>
          <t>P1 max 3.1 kW at Sf=1</t>
        </is>
      </c>
      <c r="R39" s="11" t="inlineStr">
        <is>
          <t>Reducer table n1=1400 rpm, Sf=1 (η 84%)</t>
        </is>
      </c>
      <c r="S39" s="11" t="inlineStr">
        <is>
          <t>Hollow shaft Ø35 H7, keyed</t>
        </is>
      </c>
      <c r="T39" s="11" t="inlineStr">
        <is>
          <t>IEC 80, 90, 100, 112 (B14 or B5)</t>
        </is>
      </c>
      <c r="U39" s="11" t="inlineStr">
        <is>
          <t>FR/FL output flange; TR/TL torque arm; SR/SL/SD output shaft; oil 211 synthetic VG220 if required</t>
        </is>
      </c>
      <c r="V39" s="11" t="inlineStr">
        <is>
          <t>S-IRS-IRSD 2025: ratings p.62; dims p.81-82</t>
        </is>
      </c>
      <c r="W39" s="11" t="inlineStr">
        <is>
          <t>Direct size-for-size NMRV equivalent (same centre distance and hollow bore). Ratio is a standard catalogue ratio.</t>
        </is>
      </c>
      <c r="X39" s="13" t="inlineStr">
        <is>
          <t>S/SP 90</t>
        </is>
      </c>
      <c r="Y39" s="14" t="inlineStr">
        <is>
          <t>p.55 (S series aluminium worm gear units)</t>
        </is>
      </c>
      <c r="Z39" s="14" t="inlineStr">
        <is>
          <t>YES</t>
        </is>
      </c>
      <c r="AA39" s="15" t="n">
        <v>309</v>
      </c>
      <c r="AB39" s="14" t="inlineStr">
        <is>
          <t>Gearbox with IEC input flange (SP) and hollow output shaft</t>
        </is>
      </c>
      <c r="AC39" s="16">
        <f>ROUND(AA39*(1-$L$2),2)</f>
        <v/>
      </c>
      <c r="AD39" s="17">
        <f>J39*AC39</f>
        <v/>
      </c>
      <c r="AE39" s="14" t="inlineStr">
        <is>
          <t>Output flange €23.00 → net €14.95; single output shaft €24.00 → €15.60; torque arm €40.00 → €26.00</t>
        </is>
      </c>
      <c r="AF39" s="18" t="n"/>
    </row>
    <row r="40">
      <c r="A40" s="8" t="inlineStr">
        <is>
          <t>GB-036</t>
        </is>
      </c>
      <c r="B40" s="8" t="inlineStr">
        <is>
          <t>Worm Gearbox</t>
        </is>
      </c>
      <c r="C40" s="8" t="inlineStr">
        <is>
          <t>NMRV</t>
        </is>
      </c>
      <c r="D40" s="8" t="inlineStr">
        <is>
          <t>090</t>
        </is>
      </c>
      <c r="E40" s="8" t="n"/>
      <c r="F40" s="8" t="inlineStr">
        <is>
          <t>1:25</t>
        </is>
      </c>
      <c r="G40" s="8" t="inlineStr">
        <is>
          <t>Universal</t>
        </is>
      </c>
      <c r="H40" s="8" t="inlineStr">
        <is>
          <t>Hollow shaft, keyed</t>
        </is>
      </c>
      <c r="I40" s="8" t="inlineStr">
        <is>
          <t>IEC motor adaptor/input</t>
        </is>
      </c>
      <c r="J40" s="8" t="n">
        <v>2</v>
      </c>
      <c r="K40" s="9" t="inlineStr">
        <is>
          <t>S series (worm)</t>
        </is>
      </c>
      <c r="L40" s="10" t="inlineStr">
        <is>
          <t>SP 90  i=25  (IEC B14/B5 input flange, hollow output)</t>
        </is>
      </c>
      <c r="M40" s="11" t="inlineStr">
        <is>
          <t>— (motor power not specified in RFQ)</t>
        </is>
      </c>
      <c r="N40" s="12" t="n">
        <v>25</v>
      </c>
      <c r="O40" s="9" t="n">
        <v>56</v>
      </c>
      <c r="P40" s="9" t="n">
        <v>340</v>
      </c>
      <c r="Q40" s="11" t="inlineStr">
        <is>
          <t>P1 max 2.4 kW at Sf=1</t>
        </is>
      </c>
      <c r="R40" s="11" t="inlineStr">
        <is>
          <t>Reducer table n1=1400 rpm, Sf=1 (η 83%)</t>
        </is>
      </c>
      <c r="S40" s="11" t="inlineStr">
        <is>
          <t>Hollow shaft Ø35 H7, keyed</t>
        </is>
      </c>
      <c r="T40" s="11" t="inlineStr">
        <is>
          <t>IEC 80, 90, 100, 112 (B14 or B5)</t>
        </is>
      </c>
      <c r="U40" s="11" t="inlineStr">
        <is>
          <t>FR/FL output flange; TR/TL torque arm; SR/SL/SD output shaft; oil 211 synthetic VG220 if required</t>
        </is>
      </c>
      <c r="V40" s="11" t="inlineStr">
        <is>
          <t>S-IRS-IRSD 2025: ratings p.62; dims p.81-82</t>
        </is>
      </c>
      <c r="W40" s="11" t="inlineStr">
        <is>
          <t>Direct size-for-size NMRV equivalent (same centre distance and hollow bore). Ratio is a standard catalogue ratio.</t>
        </is>
      </c>
      <c r="X40" s="13" t="inlineStr">
        <is>
          <t>S/SP 90</t>
        </is>
      </c>
      <c r="Y40" s="14" t="inlineStr">
        <is>
          <t>p.55 (S series aluminium worm gear units)</t>
        </is>
      </c>
      <c r="Z40" s="14" t="inlineStr">
        <is>
          <t>YES</t>
        </is>
      </c>
      <c r="AA40" s="15" t="n">
        <v>309</v>
      </c>
      <c r="AB40" s="14" t="inlineStr">
        <is>
          <t>Gearbox with IEC input flange (SP) and hollow output shaft</t>
        </is>
      </c>
      <c r="AC40" s="16">
        <f>ROUND(AA40*(1-$L$2),2)</f>
        <v/>
      </c>
      <c r="AD40" s="17">
        <f>J40*AC40</f>
        <v/>
      </c>
      <c r="AE40" s="14" t="inlineStr">
        <is>
          <t>Output flange €23.00 → net €14.95; single output shaft €24.00 → €15.60; torque arm €40.00 → €26.00</t>
        </is>
      </c>
      <c r="AF40" s="18" t="n"/>
    </row>
    <row r="41">
      <c r="A41" s="8" t="inlineStr">
        <is>
          <t>GB-037</t>
        </is>
      </c>
      <c r="B41" s="8" t="inlineStr">
        <is>
          <t>Worm Gearbox</t>
        </is>
      </c>
      <c r="C41" s="8" t="inlineStr">
        <is>
          <t>NMRV</t>
        </is>
      </c>
      <c r="D41" s="8" t="inlineStr">
        <is>
          <t>090</t>
        </is>
      </c>
      <c r="E41" s="8" t="n"/>
      <c r="F41" s="8" t="inlineStr">
        <is>
          <t>1:30</t>
        </is>
      </c>
      <c r="G41" s="8" t="inlineStr">
        <is>
          <t>Universal</t>
        </is>
      </c>
      <c r="H41" s="8" t="inlineStr">
        <is>
          <t>Hollow shaft, keyed</t>
        </is>
      </c>
      <c r="I41" s="8" t="inlineStr">
        <is>
          <t>IEC motor adaptor/input</t>
        </is>
      </c>
      <c r="J41" s="8" t="n">
        <v>3</v>
      </c>
      <c r="K41" s="9" t="inlineStr">
        <is>
          <t>S series (worm)</t>
        </is>
      </c>
      <c r="L41" s="10" t="inlineStr">
        <is>
          <t>SP 90  i=30  (IEC B14/B5 input flange, hollow output)</t>
        </is>
      </c>
      <c r="M41" s="11" t="inlineStr">
        <is>
          <t>— (motor power not specified in RFQ)</t>
        </is>
      </c>
      <c r="N41" s="12" t="n">
        <v>30</v>
      </c>
      <c r="O41" s="9" t="n">
        <v>47</v>
      </c>
      <c r="P41" s="9" t="n">
        <v>410</v>
      </c>
      <c r="Q41" s="11" t="inlineStr">
        <is>
          <t>P1 max 2.6 kW at Sf=1</t>
        </is>
      </c>
      <c r="R41" s="11" t="inlineStr">
        <is>
          <t>Reducer table n1=1400 rpm, Sf=1 (η 77%)</t>
        </is>
      </c>
      <c r="S41" s="11" t="inlineStr">
        <is>
          <t>Hollow shaft Ø35 H7, keyed</t>
        </is>
      </c>
      <c r="T41" s="11" t="inlineStr">
        <is>
          <t>IEC 80, 90, 100, 112 (B14 or B5)</t>
        </is>
      </c>
      <c r="U41" s="11" t="inlineStr">
        <is>
          <t>FR/FL output flange; TR/TL torque arm; SR/SL/SD output shaft; oil 211 synthetic VG220 if required</t>
        </is>
      </c>
      <c r="V41" s="11" t="inlineStr">
        <is>
          <t>S-IRS-IRSD 2025: ratings p.62; dims p.81-82</t>
        </is>
      </c>
      <c r="W41" s="11" t="inlineStr">
        <is>
          <t>Direct size-for-size NMRV equivalent (same centre distance and hollow bore). Ratio is a standard catalogue ratio.</t>
        </is>
      </c>
      <c r="X41" s="13" t="inlineStr">
        <is>
          <t>S/SP 90</t>
        </is>
      </c>
      <c r="Y41" s="14" t="inlineStr">
        <is>
          <t>p.55 (S series aluminium worm gear units)</t>
        </is>
      </c>
      <c r="Z41" s="14" t="inlineStr">
        <is>
          <t>YES</t>
        </is>
      </c>
      <c r="AA41" s="15" t="n">
        <v>309</v>
      </c>
      <c r="AB41" s="14" t="inlineStr">
        <is>
          <t>Gearbox with IEC input flange (SP) and hollow output shaft</t>
        </is>
      </c>
      <c r="AC41" s="16">
        <f>ROUND(AA41*(1-$L$2),2)</f>
        <v/>
      </c>
      <c r="AD41" s="17">
        <f>J41*AC41</f>
        <v/>
      </c>
      <c r="AE41" s="14" t="inlineStr">
        <is>
          <t>Output flange €23.00 → net €14.95; single output shaft €24.00 → €15.60; torque arm €40.00 → €26.00</t>
        </is>
      </c>
      <c r="AF41" s="18" t="n"/>
    </row>
    <row r="42">
      <c r="A42" s="8" t="inlineStr">
        <is>
          <t>GB-038</t>
        </is>
      </c>
      <c r="B42" s="8" t="inlineStr">
        <is>
          <t>Worm Gearbox</t>
        </is>
      </c>
      <c r="C42" s="8" t="inlineStr">
        <is>
          <t>NMRV</t>
        </is>
      </c>
      <c r="D42" s="8" t="inlineStr">
        <is>
          <t>090</t>
        </is>
      </c>
      <c r="E42" s="8" t="n"/>
      <c r="F42" s="8" t="inlineStr">
        <is>
          <t>1:40</t>
        </is>
      </c>
      <c r="G42" s="8" t="inlineStr">
        <is>
          <t>Universal</t>
        </is>
      </c>
      <c r="H42" s="8" t="inlineStr">
        <is>
          <t>Hollow shaft, keyed</t>
        </is>
      </c>
      <c r="I42" s="8" t="inlineStr">
        <is>
          <t>IEC motor adaptor/input</t>
        </is>
      </c>
      <c r="J42" s="8" t="n">
        <v>2</v>
      </c>
      <c r="K42" s="9" t="inlineStr">
        <is>
          <t>S series (worm)</t>
        </is>
      </c>
      <c r="L42" s="10" t="inlineStr">
        <is>
          <t>SP 90  i=40  (IEC B14/B5 input flange, hollow output)</t>
        </is>
      </c>
      <c r="M42" s="11" t="inlineStr">
        <is>
          <t>— (motor power not specified in RFQ)</t>
        </is>
      </c>
      <c r="N42" s="12" t="n">
        <v>40</v>
      </c>
      <c r="O42" s="9" t="n">
        <v>35</v>
      </c>
      <c r="P42" s="9" t="n">
        <v>359</v>
      </c>
      <c r="Q42" s="11" t="inlineStr">
        <is>
          <t>P1 max 1.8 kW at Sf=1</t>
        </is>
      </c>
      <c r="R42" s="11" t="inlineStr">
        <is>
          <t>Reducer table n1=1400 rpm, Sf=1 (η 73%)</t>
        </is>
      </c>
      <c r="S42" s="11" t="inlineStr">
        <is>
          <t>Hollow shaft Ø35 H7, keyed</t>
        </is>
      </c>
      <c r="T42" s="11" t="inlineStr">
        <is>
          <t>IEC 80, 90, 100, 112 (B14 or B5)</t>
        </is>
      </c>
      <c r="U42" s="11" t="inlineStr">
        <is>
          <t>FR/FL output flange; TR/TL torque arm; SR/SL/SD output shaft; oil 211 synthetic VG220 if required</t>
        </is>
      </c>
      <c r="V42" s="11" t="inlineStr">
        <is>
          <t>S-IRS-IRSD 2025: ratings p.62; dims p.81-82</t>
        </is>
      </c>
      <c r="W42" s="11" t="inlineStr">
        <is>
          <t>Direct size-for-size NMRV equivalent (same centre distance and hollow bore). Ratio is a standard catalogue ratio.</t>
        </is>
      </c>
      <c r="X42" s="13" t="inlineStr">
        <is>
          <t>S/SP 90</t>
        </is>
      </c>
      <c r="Y42" s="14" t="inlineStr">
        <is>
          <t>p.55 (S series aluminium worm gear units)</t>
        </is>
      </c>
      <c r="Z42" s="14" t="inlineStr">
        <is>
          <t>YES</t>
        </is>
      </c>
      <c r="AA42" s="15" t="n">
        <v>309</v>
      </c>
      <c r="AB42" s="14" t="inlineStr">
        <is>
          <t>Gearbox with IEC input flange (SP) and hollow output shaft</t>
        </is>
      </c>
      <c r="AC42" s="16">
        <f>ROUND(AA42*(1-$L$2),2)</f>
        <v/>
      </c>
      <c r="AD42" s="17">
        <f>J42*AC42</f>
        <v/>
      </c>
      <c r="AE42" s="14" t="inlineStr">
        <is>
          <t>Output flange €23.00 → net €14.95; single output shaft €24.00 → €15.60; torque arm €40.00 → €26.00</t>
        </is>
      </c>
      <c r="AF42" s="18" t="n"/>
    </row>
    <row r="43">
      <c r="A43" s="8" t="inlineStr">
        <is>
          <t>GB-039</t>
        </is>
      </c>
      <c r="B43" s="8" t="inlineStr">
        <is>
          <t>Worm Gearbox</t>
        </is>
      </c>
      <c r="C43" s="8" t="inlineStr">
        <is>
          <t>NMRV</t>
        </is>
      </c>
      <c r="D43" s="8" t="inlineStr">
        <is>
          <t>090</t>
        </is>
      </c>
      <c r="E43" s="8" t="n"/>
      <c r="F43" s="8" t="inlineStr">
        <is>
          <t>1:50</t>
        </is>
      </c>
      <c r="G43" s="8" t="inlineStr">
        <is>
          <t>Universal</t>
        </is>
      </c>
      <c r="H43" s="8" t="inlineStr">
        <is>
          <t>Hollow shaft, keyed</t>
        </is>
      </c>
      <c r="I43" s="8" t="inlineStr">
        <is>
          <t>IEC motor adaptor/input</t>
        </is>
      </c>
      <c r="J43" s="8" t="n">
        <v>2</v>
      </c>
      <c r="K43" s="9" t="inlineStr">
        <is>
          <t>S series (worm)</t>
        </is>
      </c>
      <c r="L43" s="10" t="inlineStr">
        <is>
          <t>SP 90  i=50  (IEC B14/B5 input flange, hollow output)</t>
        </is>
      </c>
      <c r="M43" s="11" t="inlineStr">
        <is>
          <t>— (motor power not specified in RFQ)</t>
        </is>
      </c>
      <c r="N43" s="12" t="n">
        <v>50</v>
      </c>
      <c r="O43" s="9" t="n">
        <v>28</v>
      </c>
      <c r="P43" s="9" t="n">
        <v>339</v>
      </c>
      <c r="Q43" s="11" t="inlineStr">
        <is>
          <t>P1 max 1.4 kW at Sf=1</t>
        </is>
      </c>
      <c r="R43" s="11" t="inlineStr">
        <is>
          <t>Reducer table n1=1400 rpm, Sf=1 (η 71%)</t>
        </is>
      </c>
      <c r="S43" s="11" t="inlineStr">
        <is>
          <t>Hollow shaft Ø35 H7, keyed</t>
        </is>
      </c>
      <c r="T43" s="11" t="inlineStr">
        <is>
          <t>IEC 80, 90, 100, 112 (B14 or B5)</t>
        </is>
      </c>
      <c r="U43" s="11" t="inlineStr">
        <is>
          <t>FR/FL output flange; TR/TL torque arm; SR/SL/SD output shaft; oil 211 synthetic VG220 if required</t>
        </is>
      </c>
      <c r="V43" s="11" t="inlineStr">
        <is>
          <t>S-IRS-IRSD 2025: ratings p.62; dims p.81-82</t>
        </is>
      </c>
      <c r="W43" s="11" t="inlineStr">
        <is>
          <t>Direct size-for-size NMRV equivalent (same centre distance and hollow bore). Ratio is a standard catalogue ratio.</t>
        </is>
      </c>
      <c r="X43" s="13" t="inlineStr">
        <is>
          <t>S/SP 90</t>
        </is>
      </c>
      <c r="Y43" s="14" t="inlineStr">
        <is>
          <t>p.55 (S series aluminium worm gear units)</t>
        </is>
      </c>
      <c r="Z43" s="14" t="inlineStr">
        <is>
          <t>YES</t>
        </is>
      </c>
      <c r="AA43" s="15" t="n">
        <v>309</v>
      </c>
      <c r="AB43" s="14" t="inlineStr">
        <is>
          <t>Gearbox with IEC input flange (SP) and hollow output shaft</t>
        </is>
      </c>
      <c r="AC43" s="16">
        <f>ROUND(AA43*(1-$L$2),2)</f>
        <v/>
      </c>
      <c r="AD43" s="17">
        <f>J43*AC43</f>
        <v/>
      </c>
      <c r="AE43" s="14" t="inlineStr">
        <is>
          <t>Output flange €23.00 → net €14.95; single output shaft €24.00 → €15.60; torque arm €40.00 → €26.00</t>
        </is>
      </c>
      <c r="AF43" s="18" t="n"/>
    </row>
    <row r="44">
      <c r="A44" s="8" t="inlineStr">
        <is>
          <t>GB-040</t>
        </is>
      </c>
      <c r="B44" s="8" t="inlineStr">
        <is>
          <t>Worm Gearbox</t>
        </is>
      </c>
      <c r="C44" s="8" t="inlineStr">
        <is>
          <t>NMRV</t>
        </is>
      </c>
      <c r="D44" s="8" t="inlineStr">
        <is>
          <t>090</t>
        </is>
      </c>
      <c r="E44" s="8" t="n"/>
      <c r="F44" s="8" t="inlineStr">
        <is>
          <t>1:60</t>
        </is>
      </c>
      <c r="G44" s="8" t="inlineStr">
        <is>
          <t>Universal</t>
        </is>
      </c>
      <c r="H44" s="8" t="inlineStr">
        <is>
          <t>Hollow shaft, keyed</t>
        </is>
      </c>
      <c r="I44" s="8" t="inlineStr">
        <is>
          <t>IEC motor adaptor/input</t>
        </is>
      </c>
      <c r="J44" s="8" t="n">
        <v>1</v>
      </c>
      <c r="K44" s="9" t="inlineStr">
        <is>
          <t>S series (worm)</t>
        </is>
      </c>
      <c r="L44" s="10" t="inlineStr">
        <is>
          <t>SP 90  i=60  (IEC B14/B5 input flange, hollow output)</t>
        </is>
      </c>
      <c r="M44" s="11" t="inlineStr">
        <is>
          <t>— (motor power not specified in RFQ)</t>
        </is>
      </c>
      <c r="N44" s="12" t="n">
        <v>60</v>
      </c>
      <c r="O44" s="9" t="n">
        <v>23</v>
      </c>
      <c r="P44" s="9" t="n">
        <v>320</v>
      </c>
      <c r="Q44" s="11" t="inlineStr">
        <is>
          <t>P1 max 1.1 kW at Sf=1</t>
        </is>
      </c>
      <c r="R44" s="11" t="inlineStr">
        <is>
          <t>Reducer table n1=1400 rpm, Sf=1 (η 71%)</t>
        </is>
      </c>
      <c r="S44" s="11" t="inlineStr">
        <is>
          <t>Hollow shaft Ø35 H7, keyed</t>
        </is>
      </c>
      <c r="T44" s="11" t="inlineStr">
        <is>
          <t>IEC 80, 90, 100, 112 (B14 or B5)</t>
        </is>
      </c>
      <c r="U44" s="11" t="inlineStr">
        <is>
          <t>FR/FL output flange; TR/TL torque arm; SR/SL/SD output shaft; oil 211 synthetic VG220 if required</t>
        </is>
      </c>
      <c r="V44" s="11" t="inlineStr">
        <is>
          <t>S-IRS-IRSD 2025: ratings p.62; dims p.81-82</t>
        </is>
      </c>
      <c r="W44" s="11" t="inlineStr">
        <is>
          <t>Direct size-for-size NMRV equivalent (same centre distance and hollow bore). Ratio is a standard catalogue ratio.</t>
        </is>
      </c>
      <c r="X44" s="13" t="inlineStr">
        <is>
          <t>S/SP 90</t>
        </is>
      </c>
      <c r="Y44" s="14" t="inlineStr">
        <is>
          <t>p.55 (S series aluminium worm gear units)</t>
        </is>
      </c>
      <c r="Z44" s="14" t="inlineStr">
        <is>
          <t>YES</t>
        </is>
      </c>
      <c r="AA44" s="15" t="n">
        <v>309</v>
      </c>
      <c r="AB44" s="14" t="inlineStr">
        <is>
          <t>Gearbox with IEC input flange (SP) and hollow output shaft</t>
        </is>
      </c>
      <c r="AC44" s="16">
        <f>ROUND(AA44*(1-$L$2),2)</f>
        <v/>
      </c>
      <c r="AD44" s="17">
        <f>J44*AC44</f>
        <v/>
      </c>
      <c r="AE44" s="14" t="inlineStr">
        <is>
          <t>Output flange €23.00 → net €14.95; single output shaft €24.00 → €15.60; torque arm €40.00 → €26.00</t>
        </is>
      </c>
      <c r="AF44" s="18" t="n"/>
    </row>
    <row r="45">
      <c r="A45" s="8" t="inlineStr">
        <is>
          <t>GB-041</t>
        </is>
      </c>
      <c r="B45" s="8" t="inlineStr">
        <is>
          <t>Worm Gearbox</t>
        </is>
      </c>
      <c r="C45" s="8" t="inlineStr">
        <is>
          <t>NMRV</t>
        </is>
      </c>
      <c r="D45" s="8" t="inlineStr">
        <is>
          <t>110</t>
        </is>
      </c>
      <c r="E45" s="8" t="n"/>
      <c r="F45" s="8" t="inlineStr">
        <is>
          <t>1:10</t>
        </is>
      </c>
      <c r="G45" s="8" t="inlineStr">
        <is>
          <t>Universal</t>
        </is>
      </c>
      <c r="H45" s="8" t="inlineStr">
        <is>
          <t>Hollow shaft, keyed</t>
        </is>
      </c>
      <c r="I45" s="8" t="inlineStr">
        <is>
          <t>IEC motor adaptor/input</t>
        </is>
      </c>
      <c r="J45" s="8" t="n">
        <v>1</v>
      </c>
      <c r="K45" s="9" t="inlineStr">
        <is>
          <t>S series (worm)</t>
        </is>
      </c>
      <c r="L45" s="10" t="inlineStr">
        <is>
          <t>SP 110  i=10  (IEC B14/B5 input flange, hollow output)</t>
        </is>
      </c>
      <c r="M45" s="11" t="inlineStr">
        <is>
          <t>— (motor power not specified in RFQ)</t>
        </is>
      </c>
      <c r="N45" s="12" t="n">
        <v>10</v>
      </c>
      <c r="O45" s="9" t="n">
        <v>140</v>
      </c>
      <c r="P45" s="9" t="n">
        <v>595</v>
      </c>
      <c r="Q45" s="11" t="inlineStr">
        <is>
          <t>P1 max 9.8 kW at Sf=1</t>
        </is>
      </c>
      <c r="R45" s="11" t="inlineStr">
        <is>
          <t>Reducer table n1=1400 rpm, Sf=1 (η 89%)</t>
        </is>
      </c>
      <c r="S45" s="11" t="inlineStr">
        <is>
          <t>Hollow shaft Ø42 H7, keyed</t>
        </is>
      </c>
      <c r="T45" s="11" t="inlineStr">
        <is>
          <t>IEC 90, 100, 112, 132 (B14 or B5)</t>
        </is>
      </c>
      <c r="U45" s="11" t="inlineStr">
        <is>
          <t>FR/FL output flange; TR/TL torque arm; SR/SL/SD output shaft; oil 211 synthetic VG220 if required</t>
        </is>
      </c>
      <c r="V45" s="11" t="inlineStr">
        <is>
          <t>S-IRS-IRSD 2025: ratings p.62; dims p.83-84</t>
        </is>
      </c>
      <c r="W45" s="11" t="inlineStr">
        <is>
          <t>Direct size-for-size NMRV equivalent (same centre distance and hollow bore). Ratio is a standard catalogue ratio.</t>
        </is>
      </c>
      <c r="X45" s="13" t="inlineStr">
        <is>
          <t>S/SP 110</t>
        </is>
      </c>
      <c r="Y45" s="14" t="inlineStr">
        <is>
          <t>p.55 (S series aluminium worm gear units)</t>
        </is>
      </c>
      <c r="Z45" s="14" t="inlineStr">
        <is>
          <t>YES</t>
        </is>
      </c>
      <c r="AA45" s="15" t="n">
        <v>485</v>
      </c>
      <c r="AB45" s="14" t="inlineStr">
        <is>
          <t>Gearbox with IEC input flange (SP) and hollow output shaft</t>
        </is>
      </c>
      <c r="AC45" s="16">
        <f>ROUND(AA45*(1-$L$2),2)</f>
        <v/>
      </c>
      <c r="AD45" s="17">
        <f>J45*AC45</f>
        <v/>
      </c>
      <c r="AE45" s="14" t="inlineStr">
        <is>
          <t>Output flange €35.00 → net €22.75; single output shaft €39.00 → €25.35; torque arm €67.00 → €43.55</t>
        </is>
      </c>
      <c r="AF45" s="18" t="n"/>
    </row>
    <row r="46">
      <c r="A46" s="8" t="inlineStr">
        <is>
          <t>GB-042</t>
        </is>
      </c>
      <c r="B46" s="8" t="inlineStr">
        <is>
          <t>Worm Gearbox</t>
        </is>
      </c>
      <c r="C46" s="8" t="inlineStr">
        <is>
          <t>NMRV</t>
        </is>
      </c>
      <c r="D46" s="8" t="inlineStr">
        <is>
          <t>110</t>
        </is>
      </c>
      <c r="E46" s="8" t="n"/>
      <c r="F46" s="8" t="inlineStr">
        <is>
          <t>1:20</t>
        </is>
      </c>
      <c r="G46" s="8" t="inlineStr">
        <is>
          <t>Universal</t>
        </is>
      </c>
      <c r="H46" s="8" t="inlineStr">
        <is>
          <t>Hollow shaft, keyed</t>
        </is>
      </c>
      <c r="I46" s="8" t="inlineStr">
        <is>
          <t>IEC motor adaptor/input</t>
        </is>
      </c>
      <c r="J46" s="8" t="n">
        <v>1</v>
      </c>
      <c r="K46" s="9" t="inlineStr">
        <is>
          <t>S series (worm)</t>
        </is>
      </c>
      <c r="L46" s="10" t="inlineStr">
        <is>
          <t>SP 110  i=20  (IEC B14/B5 input flange, hollow output)</t>
        </is>
      </c>
      <c r="M46" s="11" t="inlineStr">
        <is>
          <t>— (motor power not specified in RFQ)</t>
        </is>
      </c>
      <c r="N46" s="12" t="n">
        <v>20</v>
      </c>
      <c r="O46" s="9" t="n">
        <v>70</v>
      </c>
      <c r="P46" s="9" t="n">
        <v>642</v>
      </c>
      <c r="Q46" s="11" t="inlineStr">
        <is>
          <t>P1 max 5.6 kW at Sf=1</t>
        </is>
      </c>
      <c r="R46" s="11" t="inlineStr">
        <is>
          <t>Reducer table n1=1400 rpm, Sf=1 (η 84%)</t>
        </is>
      </c>
      <c r="S46" s="11" t="inlineStr">
        <is>
          <t>Hollow shaft Ø42 H7, keyed</t>
        </is>
      </c>
      <c r="T46" s="11" t="inlineStr">
        <is>
          <t>IEC 90, 100, 112, 132 (B14 or B5)</t>
        </is>
      </c>
      <c r="U46" s="11" t="inlineStr">
        <is>
          <t>FR/FL output flange; TR/TL torque arm; SR/SL/SD output shaft; oil 211 synthetic VG220 if required</t>
        </is>
      </c>
      <c r="V46" s="11" t="inlineStr">
        <is>
          <t>S-IRS-IRSD 2025: ratings p.62; dims p.83-84</t>
        </is>
      </c>
      <c r="W46" s="11" t="inlineStr">
        <is>
          <t>Direct size-for-size NMRV equivalent (same centre distance and hollow bore). Ratio is a standard catalogue ratio.</t>
        </is>
      </c>
      <c r="X46" s="13" t="inlineStr">
        <is>
          <t>S/SP 110</t>
        </is>
      </c>
      <c r="Y46" s="14" t="inlineStr">
        <is>
          <t>p.55 (S series aluminium worm gear units)</t>
        </is>
      </c>
      <c r="Z46" s="14" t="inlineStr">
        <is>
          <t>YES</t>
        </is>
      </c>
      <c r="AA46" s="15" t="n">
        <v>485</v>
      </c>
      <c r="AB46" s="14" t="inlineStr">
        <is>
          <t>Gearbox with IEC input flange (SP) and hollow output shaft</t>
        </is>
      </c>
      <c r="AC46" s="16">
        <f>ROUND(AA46*(1-$L$2),2)</f>
        <v/>
      </c>
      <c r="AD46" s="17">
        <f>J46*AC46</f>
        <v/>
      </c>
      <c r="AE46" s="14" t="inlineStr">
        <is>
          <t>Output flange €35.00 → net €22.75; single output shaft €39.00 → €25.35; torque arm €67.00 → €43.55</t>
        </is>
      </c>
      <c r="AF46" s="18" t="n"/>
    </row>
    <row r="47">
      <c r="A47" s="8" t="inlineStr">
        <is>
          <t>GB-043</t>
        </is>
      </c>
      <c r="B47" s="8" t="inlineStr">
        <is>
          <t>Worm Gearbox</t>
        </is>
      </c>
      <c r="C47" s="8" t="inlineStr">
        <is>
          <t>NMRV</t>
        </is>
      </c>
      <c r="D47" s="8" t="inlineStr">
        <is>
          <t>110</t>
        </is>
      </c>
      <c r="E47" s="8" t="n"/>
      <c r="F47" s="8" t="inlineStr">
        <is>
          <t>1:30</t>
        </is>
      </c>
      <c r="G47" s="8" t="inlineStr">
        <is>
          <t>Universal</t>
        </is>
      </c>
      <c r="H47" s="8" t="inlineStr">
        <is>
          <t>Hollow shaft, keyed</t>
        </is>
      </c>
      <c r="I47" s="8" t="inlineStr">
        <is>
          <t>IEC motor adaptor/input</t>
        </is>
      </c>
      <c r="J47" s="8" t="n">
        <v>1</v>
      </c>
      <c r="K47" s="9" t="inlineStr">
        <is>
          <t>S series (worm)</t>
        </is>
      </c>
      <c r="L47" s="10" t="inlineStr">
        <is>
          <t>SP 110  i=30  (IEC B14/B5 input flange, hollow output)</t>
        </is>
      </c>
      <c r="M47" s="11" t="inlineStr">
        <is>
          <t>— (motor power not specified in RFQ)</t>
        </is>
      </c>
      <c r="N47" s="12" t="n">
        <v>30</v>
      </c>
      <c r="O47" s="9" t="n">
        <v>47</v>
      </c>
      <c r="P47" s="9" t="n">
        <v>728</v>
      </c>
      <c r="Q47" s="11" t="inlineStr">
        <is>
          <t>P1 max 4.5 kW at Sf=1</t>
        </is>
      </c>
      <c r="R47" s="11" t="inlineStr">
        <is>
          <t>Reducer table n1=1400 rpm, Sf=1 (η 79%)</t>
        </is>
      </c>
      <c r="S47" s="11" t="inlineStr">
        <is>
          <t>Hollow shaft Ø42 H7, keyed</t>
        </is>
      </c>
      <c r="T47" s="11" t="inlineStr">
        <is>
          <t>IEC 90, 100, 112, 132 (B14 or B5)</t>
        </is>
      </c>
      <c r="U47" s="11" t="inlineStr">
        <is>
          <t>FR/FL output flange; TR/TL torque arm; SR/SL/SD output shaft; oil 211 synthetic VG220 if required</t>
        </is>
      </c>
      <c r="V47" s="11" t="inlineStr">
        <is>
          <t>S-IRS-IRSD 2025: ratings p.62; dims p.83-84</t>
        </is>
      </c>
      <c r="W47" s="11" t="inlineStr">
        <is>
          <t>Direct size-for-size NMRV equivalent (same centre distance and hollow bore). Ratio is a standard catalogue ratio.</t>
        </is>
      </c>
      <c r="X47" s="13" t="inlineStr">
        <is>
          <t>S/SP 110</t>
        </is>
      </c>
      <c r="Y47" s="14" t="inlineStr">
        <is>
          <t>p.55 (S series aluminium worm gear units)</t>
        </is>
      </c>
      <c r="Z47" s="14" t="inlineStr">
        <is>
          <t>YES</t>
        </is>
      </c>
      <c r="AA47" s="15" t="n">
        <v>485</v>
      </c>
      <c r="AB47" s="14" t="inlineStr">
        <is>
          <t>Gearbox with IEC input flange (SP) and hollow output shaft</t>
        </is>
      </c>
      <c r="AC47" s="16">
        <f>ROUND(AA47*(1-$L$2),2)</f>
        <v/>
      </c>
      <c r="AD47" s="17">
        <f>J47*AC47</f>
        <v/>
      </c>
      <c r="AE47" s="14" t="inlineStr">
        <is>
          <t>Output flange €35.00 → net €22.75; single output shaft €39.00 → €25.35; torque arm €67.00 → €43.55</t>
        </is>
      </c>
      <c r="AF47" s="18" t="n"/>
    </row>
    <row r="48">
      <c r="A48" s="8" t="inlineStr">
        <is>
          <t>GB-044</t>
        </is>
      </c>
      <c r="B48" s="8" t="inlineStr">
        <is>
          <t>Worm Gearbox</t>
        </is>
      </c>
      <c r="C48" s="8" t="inlineStr">
        <is>
          <t>NMRV</t>
        </is>
      </c>
      <c r="D48" s="8" t="inlineStr">
        <is>
          <t>110</t>
        </is>
      </c>
      <c r="E48" s="8" t="n"/>
      <c r="F48" s="8" t="inlineStr">
        <is>
          <t>1:40</t>
        </is>
      </c>
      <c r="G48" s="8" t="inlineStr">
        <is>
          <t>Universal</t>
        </is>
      </c>
      <c r="H48" s="8" t="inlineStr">
        <is>
          <t>Hollow shaft, keyed</t>
        </is>
      </c>
      <c r="I48" s="8" t="inlineStr">
        <is>
          <t>IEC motor adaptor/input</t>
        </is>
      </c>
      <c r="J48" s="8" t="n">
        <v>1</v>
      </c>
      <c r="K48" s="9" t="inlineStr">
        <is>
          <t>S series (worm)</t>
        </is>
      </c>
      <c r="L48" s="10" t="inlineStr">
        <is>
          <t>SP 110  i=40  (IEC B14/B5 input flange, hollow output)</t>
        </is>
      </c>
      <c r="M48" s="11" t="inlineStr">
        <is>
          <t>— (motor power not specified in RFQ)</t>
        </is>
      </c>
      <c r="N48" s="12" t="n">
        <v>40</v>
      </c>
      <c r="O48" s="9" t="n">
        <v>35</v>
      </c>
      <c r="P48" s="9" t="n">
        <v>702</v>
      </c>
      <c r="Q48" s="11" t="inlineStr">
        <is>
          <t>P1 max 3.3 kW at Sf=1</t>
        </is>
      </c>
      <c r="R48" s="11" t="inlineStr">
        <is>
          <t>Reducer table n1=1400 rpm, Sf=1 (η 78%)</t>
        </is>
      </c>
      <c r="S48" s="11" t="inlineStr">
        <is>
          <t>Hollow shaft Ø42 H7, keyed</t>
        </is>
      </c>
      <c r="T48" s="11" t="inlineStr">
        <is>
          <t>IEC 90, 100, 112, 132 (B14 or B5)</t>
        </is>
      </c>
      <c r="U48" s="11" t="inlineStr">
        <is>
          <t>FR/FL output flange; TR/TL torque arm; SR/SL/SD output shaft; oil 211 synthetic VG220 if required</t>
        </is>
      </c>
      <c r="V48" s="11" t="inlineStr">
        <is>
          <t>S-IRS-IRSD 2025: ratings p.62; dims p.83-84</t>
        </is>
      </c>
      <c r="W48" s="11" t="inlineStr">
        <is>
          <t>Direct size-for-size NMRV equivalent (same centre distance and hollow bore). Ratio is a standard catalogue ratio.</t>
        </is>
      </c>
      <c r="X48" s="13" t="inlineStr">
        <is>
          <t>S/SP 110</t>
        </is>
      </c>
      <c r="Y48" s="14" t="inlineStr">
        <is>
          <t>p.55 (S series aluminium worm gear units)</t>
        </is>
      </c>
      <c r="Z48" s="14" t="inlineStr">
        <is>
          <t>YES</t>
        </is>
      </c>
      <c r="AA48" s="15" t="n">
        <v>485</v>
      </c>
      <c r="AB48" s="14" t="inlineStr">
        <is>
          <t>Gearbox with IEC input flange (SP) and hollow output shaft</t>
        </is>
      </c>
      <c r="AC48" s="16">
        <f>ROUND(AA48*(1-$L$2),2)</f>
        <v/>
      </c>
      <c r="AD48" s="17">
        <f>J48*AC48</f>
        <v/>
      </c>
      <c r="AE48" s="14" t="inlineStr">
        <is>
          <t>Output flange €35.00 → net €22.75; single output shaft €39.00 → €25.35; torque arm €67.00 → €43.55</t>
        </is>
      </c>
      <c r="AF48" s="18" t="n"/>
    </row>
    <row r="49">
      <c r="A49" s="8" t="inlineStr">
        <is>
          <t>GB-045</t>
        </is>
      </c>
      <c r="B49" s="8" t="inlineStr">
        <is>
          <t>Worm Gearbox</t>
        </is>
      </c>
      <c r="C49" s="8" t="inlineStr">
        <is>
          <t>NMRV</t>
        </is>
      </c>
      <c r="D49" s="8" t="inlineStr">
        <is>
          <t>110</t>
        </is>
      </c>
      <c r="E49" s="8" t="n"/>
      <c r="F49" s="8" t="inlineStr">
        <is>
          <t>1:50</t>
        </is>
      </c>
      <c r="G49" s="8" t="inlineStr">
        <is>
          <t>Universal</t>
        </is>
      </c>
      <c r="H49" s="8" t="inlineStr">
        <is>
          <t>Hollow shaft, keyed</t>
        </is>
      </c>
      <c r="I49" s="8" t="inlineStr">
        <is>
          <t>IEC motor adaptor/input</t>
        </is>
      </c>
      <c r="J49" s="8" t="n">
        <v>1</v>
      </c>
      <c r="K49" s="9" t="inlineStr">
        <is>
          <t>S series (worm)</t>
        </is>
      </c>
      <c r="L49" s="10" t="inlineStr">
        <is>
          <t>SP 110  i=50  (IEC B14/B5 input flange, hollow output)</t>
        </is>
      </c>
      <c r="M49" s="11" t="inlineStr">
        <is>
          <t>— (motor power not specified in RFQ)</t>
        </is>
      </c>
      <c r="N49" s="12" t="n">
        <v>50</v>
      </c>
      <c r="O49" s="9" t="n">
        <v>28</v>
      </c>
      <c r="P49" s="9" t="n">
        <v>656</v>
      </c>
      <c r="Q49" s="11" t="inlineStr">
        <is>
          <t>P1 max 2.6 kW at Sf=1</t>
        </is>
      </c>
      <c r="R49" s="11" t="inlineStr">
        <is>
          <t>Reducer table n1=1400 rpm, Sf=1 (η 74%)</t>
        </is>
      </c>
      <c r="S49" s="11" t="inlineStr">
        <is>
          <t>Hollow shaft Ø42 H7, keyed</t>
        </is>
      </c>
      <c r="T49" s="11" t="inlineStr">
        <is>
          <t>IEC 90, 100, 112, 132 (B14 or B5)</t>
        </is>
      </c>
      <c r="U49" s="11" t="inlineStr">
        <is>
          <t>FR/FL output flange; TR/TL torque arm; SR/SL/SD output shaft; oil 211 synthetic VG220 if required</t>
        </is>
      </c>
      <c r="V49" s="11" t="inlineStr">
        <is>
          <t>S-IRS-IRSD 2025: ratings p.62; dims p.83-84</t>
        </is>
      </c>
      <c r="W49" s="11" t="inlineStr">
        <is>
          <t>Direct size-for-size NMRV equivalent (same centre distance and hollow bore). Ratio is a standard catalogue ratio.</t>
        </is>
      </c>
      <c r="X49" s="13" t="inlineStr">
        <is>
          <t>S/SP 110</t>
        </is>
      </c>
      <c r="Y49" s="14" t="inlineStr">
        <is>
          <t>p.55 (S series aluminium worm gear units)</t>
        </is>
      </c>
      <c r="Z49" s="14" t="inlineStr">
        <is>
          <t>YES</t>
        </is>
      </c>
      <c r="AA49" s="15" t="n">
        <v>485</v>
      </c>
      <c r="AB49" s="14" t="inlineStr">
        <is>
          <t>Gearbox with IEC input flange (SP) and hollow output shaft</t>
        </is>
      </c>
      <c r="AC49" s="16">
        <f>ROUND(AA49*(1-$L$2),2)</f>
        <v/>
      </c>
      <c r="AD49" s="17">
        <f>J49*AC49</f>
        <v/>
      </c>
      <c r="AE49" s="14" t="inlineStr">
        <is>
          <t>Output flange €35.00 → net €22.75; single output shaft €39.00 → €25.35; torque arm €67.00 → €43.55</t>
        </is>
      </c>
      <c r="AF49" s="18" t="n"/>
    </row>
    <row r="50">
      <c r="A50" s="8" t="inlineStr">
        <is>
          <t>GB-046</t>
        </is>
      </c>
      <c r="B50" s="8" t="inlineStr">
        <is>
          <t>Worm Gearbox</t>
        </is>
      </c>
      <c r="C50" s="8" t="inlineStr">
        <is>
          <t>NMRV</t>
        </is>
      </c>
      <c r="D50" s="8" t="inlineStr">
        <is>
          <t>130</t>
        </is>
      </c>
      <c r="E50" s="8" t="n"/>
      <c r="F50" s="8" t="inlineStr">
        <is>
          <t>1:50</t>
        </is>
      </c>
      <c r="G50" s="8" t="inlineStr">
        <is>
          <t>Universal</t>
        </is>
      </c>
      <c r="H50" s="8" t="inlineStr">
        <is>
          <t>Hollow shaft, keyed</t>
        </is>
      </c>
      <c r="I50" s="8" t="inlineStr">
        <is>
          <t>IEC motor adaptor/input</t>
        </is>
      </c>
      <c r="J50" s="8" t="n">
        <v>50</v>
      </c>
      <c r="K50" s="9" t="inlineStr">
        <is>
          <t>İRS series (cast-iron worm)</t>
        </is>
      </c>
      <c r="L50" s="10" t="inlineStr">
        <is>
          <t>İRSAP 127  i=52  (IEC B14/B5 input flange, hollow output)</t>
        </is>
      </c>
      <c r="M50" s="11" t="inlineStr">
        <is>
          <t>— (motor power not specified in RFQ)</t>
        </is>
      </c>
      <c r="N50" s="12" t="n">
        <v>52</v>
      </c>
      <c r="O50" s="9" t="n">
        <v>27</v>
      </c>
      <c r="P50" s="9" t="n">
        <v>1711</v>
      </c>
      <c r="Q50" s="11" t="inlineStr">
        <is>
          <t>P1 max 6.7 kW at Sf=1</t>
        </is>
      </c>
      <c r="R50" s="11" t="inlineStr">
        <is>
          <t>Reducer table n1=1400 rpm, Sf=1 (η 76%)</t>
        </is>
      </c>
      <c r="S50" s="11" t="inlineStr">
        <is>
          <t>Hollow shaft Ø50 H7, keyed</t>
        </is>
      </c>
      <c r="T50" s="11" t="inlineStr">
        <is>
          <t>IEC 100, 112, 132 (B14 or B5)</t>
        </is>
      </c>
      <c r="U50" s="11" t="inlineStr">
        <is>
          <t>Single output shaft; torque arm; İRSF flange-mounted version</t>
        </is>
      </c>
      <c r="V50" s="11" t="inlineStr">
        <is>
          <t>S-IRS-IRSD 2025: ratings p.63; dims p.111-112</t>
        </is>
      </c>
      <c r="W50" s="11" t="inlineStr">
        <is>
          <t>CAST IRON: the price list (p.55) names the S series "ALUMINIUM SERIES WORM GEAR UNITS", so S130/S150 do not meet the cast-iron requirement. Cast-iron İRSA 127 is used instead: i=52 is the closest ratio to 1:50 (+4%), and its rated M2 1711 Nm is at least the S130 rating at that ratio. Hollow bore is Ø50 (NMRV130 is Ø45): a Ø45 bore would be a special hollow shaft (+10% per price list p.1). Aluminium S130 alternative for reference: S/SP 130 list €633.00, net €411.45.</t>
        </is>
      </c>
      <c r="X50" s="13" t="inlineStr">
        <is>
          <t>IRS-IRSP 127 (IRSA, foot mounted)</t>
        </is>
      </c>
      <c r="Y50" s="14" t="inlineStr">
        <is>
          <t>p.51 (IRS series)</t>
        </is>
      </c>
      <c r="Z50" s="14" t="inlineStr">
        <is>
          <t>YES</t>
        </is>
      </c>
      <c r="AA50" s="15" t="n">
        <v>826</v>
      </c>
      <c r="AB50" s="14" t="inlineStr">
        <is>
          <t>Cast-iron gearbox with IEC input flange (IRSP) and hollow output shaft</t>
        </is>
      </c>
      <c r="AC50" s="16">
        <f>ROUND(AA50*(1-$L$2),2)</f>
        <v/>
      </c>
      <c r="AD50" s="17">
        <f>J50*AC50</f>
        <v/>
      </c>
      <c r="AE50" s="14" t="inlineStr">
        <is>
          <t>Single output shaft €34.00 → €22.10; torque arm €45.00 → €29.25; flange-mounted IRSF version €886.00 → €575.90 instead of IRSA</t>
        </is>
      </c>
      <c r="AF50" s="18" t="n"/>
    </row>
    <row r="51">
      <c r="A51" s="8" t="inlineStr">
        <is>
          <t>GB-047</t>
        </is>
      </c>
      <c r="B51" s="8" t="inlineStr">
        <is>
          <t>Worm Gearbox</t>
        </is>
      </c>
      <c r="C51" s="8" t="inlineStr">
        <is>
          <t>NMRV</t>
        </is>
      </c>
      <c r="D51" s="8" t="inlineStr">
        <is>
          <t>130</t>
        </is>
      </c>
      <c r="E51" s="8" t="n"/>
      <c r="F51" s="8" t="inlineStr">
        <is>
          <t>1:60</t>
        </is>
      </c>
      <c r="G51" s="8" t="inlineStr">
        <is>
          <t>Universal</t>
        </is>
      </c>
      <c r="H51" s="8" t="inlineStr">
        <is>
          <t>Hollow shaft, keyed</t>
        </is>
      </c>
      <c r="I51" s="8" t="inlineStr">
        <is>
          <t>IEC motor adaptor/input</t>
        </is>
      </c>
      <c r="J51" s="8" t="n">
        <v>50</v>
      </c>
      <c r="K51" s="9" t="inlineStr">
        <is>
          <t>İRS series (cast-iron worm)</t>
        </is>
      </c>
      <c r="L51" s="10" t="inlineStr">
        <is>
          <t>İRSAP 127  i=65  (IEC B14/B5 input flange, hollow output)</t>
        </is>
      </c>
      <c r="M51" s="11" t="inlineStr">
        <is>
          <t>— (motor power not specified in RFQ)</t>
        </is>
      </c>
      <c r="N51" s="12" t="n">
        <v>65</v>
      </c>
      <c r="O51" s="9" t="n">
        <v>22</v>
      </c>
      <c r="P51" s="9" t="n">
        <v>1268</v>
      </c>
      <c r="Q51" s="11" t="inlineStr">
        <is>
          <t>P1 max 4.4 kW at Sf=1</t>
        </is>
      </c>
      <c r="R51" s="11" t="inlineStr">
        <is>
          <t>Reducer table n1=1400 rpm, Sf=1 (η 71%)</t>
        </is>
      </c>
      <c r="S51" s="11" t="inlineStr">
        <is>
          <t>Hollow shaft Ø50 H7, keyed</t>
        </is>
      </c>
      <c r="T51" s="11" t="inlineStr">
        <is>
          <t>IEC 100, 112, 132 (B14 or B5)</t>
        </is>
      </c>
      <c r="U51" s="11" t="inlineStr">
        <is>
          <t>Single output shaft; torque arm; İRSF flange-mounted version</t>
        </is>
      </c>
      <c r="V51" s="11" t="inlineStr">
        <is>
          <t>S-IRS-IRSD 2025: ratings p.63; dims p.111-112</t>
        </is>
      </c>
      <c r="W51" s="11" t="inlineStr">
        <is>
          <t>CAST IRON: the price list (p.55) names the S series "ALUMINIUM SERIES WORM GEAR UNITS", so S130/S150 do not meet the cast-iron requirement. Cast-iron İRSA 127 is used instead: i=65 is the closest ratio to 1:60 (+8%), and its rated M2 1268 Nm is at least the S130 rating at that ratio. Hollow bore is Ø50 (NMRV130 is Ø45): a Ø45 bore would be a special hollow shaft (+10% per price list p.1). Aluminium S130 alternative for reference: S/SP 130 list €633.00, net €411.45.</t>
        </is>
      </c>
      <c r="X51" s="13" t="inlineStr">
        <is>
          <t>IRS-IRSP 127 (IRSA, foot mounted)</t>
        </is>
      </c>
      <c r="Y51" s="14" t="inlineStr">
        <is>
          <t>p.51 (IRS series)</t>
        </is>
      </c>
      <c r="Z51" s="14" t="inlineStr">
        <is>
          <t>YES</t>
        </is>
      </c>
      <c r="AA51" s="15" t="n">
        <v>826</v>
      </c>
      <c r="AB51" s="14" t="inlineStr">
        <is>
          <t>Cast-iron gearbox with IEC input flange (IRSP) and hollow output shaft</t>
        </is>
      </c>
      <c r="AC51" s="16">
        <f>ROUND(AA51*(1-$L$2),2)</f>
        <v/>
      </c>
      <c r="AD51" s="17">
        <f>J51*AC51</f>
        <v/>
      </c>
      <c r="AE51" s="14" t="inlineStr">
        <is>
          <t>Single output shaft €34.00 → €22.10; torque arm €45.00 → €29.25; flange-mounted IRSF version €886.00 → €575.90 instead of IRSA</t>
        </is>
      </c>
      <c r="AF51" s="18" t="n"/>
    </row>
    <row r="52">
      <c r="A52" s="8" t="inlineStr">
        <is>
          <t>GB-048</t>
        </is>
      </c>
      <c r="B52" s="8" t="inlineStr">
        <is>
          <t>Worm Gearbox</t>
        </is>
      </c>
      <c r="C52" s="8" t="inlineStr">
        <is>
          <t>NMRV</t>
        </is>
      </c>
      <c r="D52" s="8" t="inlineStr">
        <is>
          <t>150</t>
        </is>
      </c>
      <c r="E52" s="8" t="n"/>
      <c r="F52" s="8" t="inlineStr">
        <is>
          <t>1:50</t>
        </is>
      </c>
      <c r="G52" s="8" t="inlineStr">
        <is>
          <t>Universal</t>
        </is>
      </c>
      <c r="H52" s="8" t="inlineStr">
        <is>
          <t>Hollow shaft, keyed</t>
        </is>
      </c>
      <c r="I52" s="8" t="inlineStr">
        <is>
          <t>IEC motor adaptor/input</t>
        </is>
      </c>
      <c r="J52" s="8" t="n">
        <v>50</v>
      </c>
      <c r="K52" s="9" t="inlineStr">
        <is>
          <t>İRS series (cast-iron worm)</t>
        </is>
      </c>
      <c r="L52" s="10" t="inlineStr">
        <is>
          <t>İRSAP 127  i=52  (IEC B14/B5 input flange, hollow output)</t>
        </is>
      </c>
      <c r="M52" s="11" t="inlineStr">
        <is>
          <t>— (motor power not specified in RFQ)</t>
        </is>
      </c>
      <c r="N52" s="12" t="n">
        <v>52</v>
      </c>
      <c r="O52" s="9" t="n">
        <v>27</v>
      </c>
      <c r="P52" s="9" t="n">
        <v>1711</v>
      </c>
      <c r="Q52" s="11" t="inlineStr">
        <is>
          <t>P1 max 6.7 kW at Sf=1</t>
        </is>
      </c>
      <c r="R52" s="11" t="inlineStr">
        <is>
          <t>Reducer table n1=1400 rpm, Sf=1 (η 76%)</t>
        </is>
      </c>
      <c r="S52" s="11" t="inlineStr">
        <is>
          <t>Hollow shaft Ø50 H7, keyed</t>
        </is>
      </c>
      <c r="T52" s="11" t="inlineStr">
        <is>
          <t>IEC 100, 112, 132 (B14 or B5)</t>
        </is>
      </c>
      <c r="U52" s="11" t="inlineStr">
        <is>
          <t>Single output shaft; torque arm; İRSF flange-mounted version</t>
        </is>
      </c>
      <c r="V52" s="11" t="inlineStr">
        <is>
          <t>S-IRS-IRSD 2025: ratings p.63; dims p.111-112</t>
        </is>
      </c>
      <c r="W52" s="11" t="inlineStr">
        <is>
          <t>CAST IRON: the price list (p.55) names the S series "ALUMINIUM SERIES WORM GEAR UNITS", so S130/S150 do not meet the cast-iron requirement. Cast-iron İRSA 127 is used instead: i=52 is the closest ratio to 1:50 (+4%), and its rated M2 1711 Nm is at least the S150 rating at that ratio. Hollow bore Ø50 is the same as NMRV150. Aluminium S150 alternative for reference: S/SP 150 list €1,022.00, net €664.30.</t>
        </is>
      </c>
      <c r="X52" s="13" t="inlineStr">
        <is>
          <t>IRS-IRSP 127 (IRSA, foot mounted)</t>
        </is>
      </c>
      <c r="Y52" s="14" t="inlineStr">
        <is>
          <t>p.51 (IRS series)</t>
        </is>
      </c>
      <c r="Z52" s="14" t="inlineStr">
        <is>
          <t>YES</t>
        </is>
      </c>
      <c r="AA52" s="15" t="n">
        <v>826</v>
      </c>
      <c r="AB52" s="14" t="inlineStr">
        <is>
          <t>Cast-iron gearbox with IEC input flange (IRSP) and hollow output shaft</t>
        </is>
      </c>
      <c r="AC52" s="16">
        <f>ROUND(AA52*(1-$L$2),2)</f>
        <v/>
      </c>
      <c r="AD52" s="17">
        <f>J52*AC52</f>
        <v/>
      </c>
      <c r="AE52" s="14" t="inlineStr">
        <is>
          <t>Single output shaft €34.00 → €22.10; torque arm €45.00 → €29.25; flange-mounted IRSF version €886.00 → €575.90 instead of IRSA</t>
        </is>
      </c>
      <c r="AF52" s="18" t="n"/>
    </row>
    <row r="53">
      <c r="A53" s="8" t="inlineStr">
        <is>
          <t>GB-049</t>
        </is>
      </c>
      <c r="B53" s="8" t="inlineStr">
        <is>
          <t>Worm Gearbox</t>
        </is>
      </c>
      <c r="C53" s="8" t="inlineStr">
        <is>
          <t>NMRV</t>
        </is>
      </c>
      <c r="D53" s="8" t="inlineStr">
        <is>
          <t>150</t>
        </is>
      </c>
      <c r="E53" s="8" t="n"/>
      <c r="F53" s="8" t="inlineStr">
        <is>
          <t>1:60</t>
        </is>
      </c>
      <c r="G53" s="8" t="inlineStr">
        <is>
          <t>Universal</t>
        </is>
      </c>
      <c r="H53" s="8" t="inlineStr">
        <is>
          <t>Hollow shaft, keyed</t>
        </is>
      </c>
      <c r="I53" s="8" t="inlineStr">
        <is>
          <t>IEC motor adaptor/input</t>
        </is>
      </c>
      <c r="J53" s="8" t="n">
        <v>50</v>
      </c>
      <c r="K53" s="9" t="inlineStr">
        <is>
          <t>İRS series (cast-iron worm)</t>
        </is>
      </c>
      <c r="L53" s="10" t="inlineStr">
        <is>
          <t>İRSAP 127  i=65  (IEC B14/B5 input flange, hollow output)</t>
        </is>
      </c>
      <c r="M53" s="11" t="inlineStr">
        <is>
          <t>— (motor power not specified in RFQ)</t>
        </is>
      </c>
      <c r="N53" s="12" t="n">
        <v>65</v>
      </c>
      <c r="O53" s="9" t="n">
        <v>22</v>
      </c>
      <c r="P53" s="9" t="n">
        <v>1268</v>
      </c>
      <c r="Q53" s="11" t="inlineStr">
        <is>
          <t>P1 max 4.4 kW at Sf=1</t>
        </is>
      </c>
      <c r="R53" s="11" t="inlineStr">
        <is>
          <t>Reducer table n1=1400 rpm, Sf=1 (η 73%)</t>
        </is>
      </c>
      <c r="S53" s="11" t="inlineStr">
        <is>
          <t>Hollow shaft Ø50 H7, keyed</t>
        </is>
      </c>
      <c r="T53" s="11" t="inlineStr">
        <is>
          <t>IEC 100, 112, 132 (B14 or B5)</t>
        </is>
      </c>
      <c r="U53" s="11" t="inlineStr">
        <is>
          <t>Single output shaft; torque arm; İRSF flange-mounted version</t>
        </is>
      </c>
      <c r="V53" s="11" t="inlineStr">
        <is>
          <t>S-IRS-IRSD 2025: ratings p.63; dims p.111-112</t>
        </is>
      </c>
      <c r="W53" s="11" t="inlineStr">
        <is>
          <t>CAST IRON: the price list (p.55) names the S series "ALUMINIUM SERIES WORM GEAR UNITS", so S130/S150 do not meet the cast-iron requirement. Cast-iron İRSA 127 is used instead: i=65 is the closest ratio to 1:60 (+8%), and its rated M2 1268 Nm is at least the S150 rating at that ratio. Hollow bore Ø50 is the same as NMRV150. Aluminium S150 alternative for reference: S/SP 150 list €1,022.00, net €664.30.</t>
        </is>
      </c>
      <c r="X53" s="13" t="inlineStr">
        <is>
          <t>IRS-IRSP 127 (IRSA, foot mounted)</t>
        </is>
      </c>
      <c r="Y53" s="14" t="inlineStr">
        <is>
          <t>p.51 (IRS series)</t>
        </is>
      </c>
      <c r="Z53" s="14" t="inlineStr">
        <is>
          <t>YES</t>
        </is>
      </c>
      <c r="AA53" s="15" t="n">
        <v>826</v>
      </c>
      <c r="AB53" s="14" t="inlineStr">
        <is>
          <t>Cast-iron gearbox with IEC input flange (IRSP) and hollow output shaft</t>
        </is>
      </c>
      <c r="AC53" s="16">
        <f>ROUND(AA53*(1-$L$2),2)</f>
        <v/>
      </c>
      <c r="AD53" s="17">
        <f>J53*AC53</f>
        <v/>
      </c>
      <c r="AE53" s="14" t="inlineStr">
        <is>
          <t>Single output shaft €34.00 → €22.10; torque arm €45.00 → €29.25; flange-mounted IRSF version €886.00 → €575.90 instead of IRSA</t>
        </is>
      </c>
      <c r="AF53" s="18" t="n"/>
    </row>
    <row r="54">
      <c r="A54" s="8" t="inlineStr">
        <is>
          <t>GB-050</t>
        </is>
      </c>
      <c r="B54" s="8" t="inlineStr">
        <is>
          <t>Helical Inline</t>
        </is>
      </c>
      <c r="C54" s="8" t="inlineStr">
        <is>
          <t>R / Equivalent</t>
        </is>
      </c>
      <c r="D54" s="8" t="inlineStr">
        <is>
          <t>Supplier selection</t>
        </is>
      </c>
      <c r="E54" s="8" t="n">
        <v>0.37</v>
      </c>
      <c r="F54" s="8" t="inlineStr">
        <is>
          <t>1:10</t>
        </is>
      </c>
      <c r="G54" s="8" t="inlineStr">
        <is>
          <t>B3 foot</t>
        </is>
      </c>
      <c r="H54" s="8" t="inlineStr">
        <is>
          <t>Solid output shaft</t>
        </is>
      </c>
      <c r="I54" s="8" t="inlineStr">
        <is>
          <t>IEC motor adaptor/input</t>
        </is>
      </c>
      <c r="J54" s="8" t="n">
        <v>1</v>
      </c>
      <c r="K54" s="9" t="inlineStr">
        <is>
          <t>İR (helical inline)</t>
        </is>
      </c>
      <c r="L54" s="10" t="inlineStr">
        <is>
          <t>İRAP 42  i=9.845  + IEC 71 B5 input (code 155)</t>
        </is>
      </c>
      <c r="M54" s="11" t="inlineStr">
        <is>
          <t>İRAM 42 / 71 M 4b</t>
        </is>
      </c>
      <c r="N54" s="12" t="n">
        <v>9.845000000000001</v>
      </c>
      <c r="O54" s="9" t="n">
        <v>142</v>
      </c>
      <c r="P54" s="9" t="n">
        <v>24</v>
      </c>
      <c r="Q54" s="11" t="inlineStr">
        <is>
          <t>Sf 1.94</t>
        </is>
      </c>
      <c r="R54" s="11" t="inlineStr">
        <is>
          <t>Gearmotor table, 4-pole motor, n1≈1400 rpm</t>
        </is>
      </c>
      <c r="S54" s="11" t="inlineStr">
        <is>
          <t>Solid output shaft (foot mounted)</t>
        </is>
      </c>
      <c r="T54" s="11" t="inlineStr">
        <is>
          <t>IEC 71 B5 (motor 71 M 4b)</t>
        </is>
      </c>
      <c r="U54" s="11" t="inlineStr">
        <is>
          <t>IEC B5 input flange 155 (or 156 PAM with coupling); İRAFM foot+flange version available</t>
        </is>
      </c>
      <c r="V54" s="11" t="inlineStr">
        <is>
          <t>IR 2024: ratings p.52; dims p.195-197</t>
        </is>
      </c>
      <c r="W54" s="11" t="inlineStr">
        <is>
          <t>Smallest housing with Sf ≥ 1.5 at 0.37 kW / 1400 rpm. Ratio deviation -1.5% vs 1:10. Quote both reducer-only and gearmotor lines (RFQ).</t>
        </is>
      </c>
      <c r="X54" s="13" t="inlineStr">
        <is>
          <t>IRAP 42 – IEC 71 B5 / B14</t>
        </is>
      </c>
      <c r="Y54" s="14" t="inlineStr">
        <is>
          <t>p.15 (IRP series, IEC B5/B14 flanged)</t>
        </is>
      </c>
      <c r="Z54" s="14" t="inlineStr">
        <is>
          <t>YES</t>
        </is>
      </c>
      <c r="AA54" s="15" t="n">
        <v>224</v>
      </c>
      <c r="AB54" s="14" t="inlineStr">
        <is>
          <t>Gear unit with IEC input flange, solid output shaft, foot mounted</t>
        </is>
      </c>
      <c r="AC54" s="16">
        <f>ROUND(AA54*(1-$L$2),2)</f>
        <v/>
      </c>
      <c r="AD54" s="17">
        <f>J54*AC54</f>
        <v/>
      </c>
      <c r="AE54" s="14" t="inlineStr">
        <is>
          <t>Complete gearmotor not priced here (IEC reducer requested); gearmotor prices are on price list pp.3-13 by kW/rpm</t>
        </is>
      </c>
      <c r="AF54" s="18" t="n"/>
    </row>
    <row r="55">
      <c r="A55" s="8" t="inlineStr">
        <is>
          <t>GB-051</t>
        </is>
      </c>
      <c r="B55" s="8" t="inlineStr">
        <is>
          <t>Helical Inline</t>
        </is>
      </c>
      <c r="C55" s="8" t="inlineStr">
        <is>
          <t>R / Equivalent</t>
        </is>
      </c>
      <c r="D55" s="8" t="inlineStr">
        <is>
          <t>Supplier selection</t>
        </is>
      </c>
      <c r="E55" s="8" t="n">
        <v>0.37</v>
      </c>
      <c r="F55" s="8" t="inlineStr">
        <is>
          <t>1:20</t>
        </is>
      </c>
      <c r="G55" s="8" t="inlineStr">
        <is>
          <t>B3 foot</t>
        </is>
      </c>
      <c r="H55" s="8" t="inlineStr">
        <is>
          <t>Solid output shaft</t>
        </is>
      </c>
      <c r="I55" s="8" t="inlineStr">
        <is>
          <t>IEC motor adaptor/input</t>
        </is>
      </c>
      <c r="J55" s="8" t="n">
        <v>1</v>
      </c>
      <c r="K55" s="9" t="inlineStr">
        <is>
          <t>İR (helical inline)</t>
        </is>
      </c>
      <c r="L55" s="10" t="inlineStr">
        <is>
          <t>İRAP 43  i=20.0  + IEC 71 B5 input (code 155)</t>
        </is>
      </c>
      <c r="M55" s="11" t="inlineStr">
        <is>
          <t>İRAM 43 / 71 M 4b</t>
        </is>
      </c>
      <c r="N55" s="12" t="n">
        <v>20</v>
      </c>
      <c r="O55" s="9" t="n">
        <v>69</v>
      </c>
      <c r="P55" s="9" t="n">
        <v>49</v>
      </c>
      <c r="Q55" s="11" t="inlineStr">
        <is>
          <t>Sf 1.68</t>
        </is>
      </c>
      <c r="R55" s="11" t="inlineStr">
        <is>
          <t>Gearmotor table, 4-pole motor, n1≈1400 rpm</t>
        </is>
      </c>
      <c r="S55" s="11" t="inlineStr">
        <is>
          <t>Solid output shaft (foot mounted)</t>
        </is>
      </c>
      <c r="T55" s="11" t="inlineStr">
        <is>
          <t>IEC 71 B5 (motor 71 M 4b)</t>
        </is>
      </c>
      <c r="U55" s="11" t="inlineStr">
        <is>
          <t>IEC B5 input flange 155 (or 156 PAM with coupling); İRAFM foot+flange version available</t>
        </is>
      </c>
      <c r="V55" s="11" t="inlineStr">
        <is>
          <t>IR 2024: ratings p.52; dims p.195-197</t>
        </is>
      </c>
      <c r="W55" s="11" t="inlineStr">
        <is>
          <t>Smallest housing with Sf ≥ 1.5 at 0.37 kW / 1400 rpm. Ratio deviation +0.0% vs 1:20. Quote both reducer-only and gearmotor lines (RFQ).</t>
        </is>
      </c>
      <c r="X55" s="13" t="inlineStr">
        <is>
          <t>IRAP 43 – IEC 71 B5 / B14</t>
        </is>
      </c>
      <c r="Y55" s="14" t="inlineStr">
        <is>
          <t>p.15 (IRP series, IEC B5/B14 flanged)</t>
        </is>
      </c>
      <c r="Z55" s="14" t="inlineStr">
        <is>
          <t>YES</t>
        </is>
      </c>
      <c r="AA55" s="15" t="n">
        <v>228</v>
      </c>
      <c r="AB55" s="14" t="inlineStr">
        <is>
          <t>Gear unit with IEC input flange, solid output shaft, foot mounted</t>
        </is>
      </c>
      <c r="AC55" s="16">
        <f>ROUND(AA55*(1-$L$2),2)</f>
        <v/>
      </c>
      <c r="AD55" s="17">
        <f>J55*AC55</f>
        <v/>
      </c>
      <c r="AE55" s="14" t="inlineStr">
        <is>
          <t>Complete gearmotor not priced here (IEC reducer requested); gearmotor prices are on price list pp.3-13 by kW/rpm</t>
        </is>
      </c>
      <c r="AF55" s="18" t="n"/>
    </row>
    <row r="56">
      <c r="A56" s="8" t="inlineStr">
        <is>
          <t>GB-052</t>
        </is>
      </c>
      <c r="B56" s="8" t="inlineStr">
        <is>
          <t>Helical Inline</t>
        </is>
      </c>
      <c r="C56" s="8" t="inlineStr">
        <is>
          <t>R / Equivalent</t>
        </is>
      </c>
      <c r="D56" s="8" t="inlineStr">
        <is>
          <t>Supplier selection</t>
        </is>
      </c>
      <c r="E56" s="8" t="n">
        <v>0.37</v>
      </c>
      <c r="F56" s="8" t="inlineStr">
        <is>
          <t>1:30</t>
        </is>
      </c>
      <c r="G56" s="8" t="inlineStr">
        <is>
          <t>B3 foot</t>
        </is>
      </c>
      <c r="H56" s="8" t="inlineStr">
        <is>
          <t>Solid output shaft</t>
        </is>
      </c>
      <c r="I56" s="8" t="inlineStr">
        <is>
          <t>IEC motor adaptor/input</t>
        </is>
      </c>
      <c r="J56" s="8" t="n">
        <v>1</v>
      </c>
      <c r="K56" s="9" t="inlineStr">
        <is>
          <t>İR (helical inline)</t>
        </is>
      </c>
      <c r="L56" s="10" t="inlineStr">
        <is>
          <t>İRAP 53  i=31.33  + IEC 71 B5 input (code 155)</t>
        </is>
      </c>
      <c r="M56" s="11" t="inlineStr">
        <is>
          <t>İRAM 53 / 71 M 4b</t>
        </is>
      </c>
      <c r="N56" s="12" t="n">
        <v>31.33</v>
      </c>
      <c r="O56" s="9" t="n">
        <v>44</v>
      </c>
      <c r="P56" s="9" t="n">
        <v>77</v>
      </c>
      <c r="Q56" s="11" t="inlineStr">
        <is>
          <t>Sf 2.49</t>
        </is>
      </c>
      <c r="R56" s="11" t="inlineStr">
        <is>
          <t>Gearmotor table, 4-pole motor, n1≈1400 rpm</t>
        </is>
      </c>
      <c r="S56" s="11" t="inlineStr">
        <is>
          <t>Solid output shaft (foot mounted)</t>
        </is>
      </c>
      <c r="T56" s="11" t="inlineStr">
        <is>
          <t>IEC 71 B5 (motor 71 M 4b)</t>
        </is>
      </c>
      <c r="U56" s="11" t="inlineStr">
        <is>
          <t>IEC B5 input flange 155 (or 156 PAM with coupling); İRAFM foot+flange version available</t>
        </is>
      </c>
      <c r="V56" s="11" t="inlineStr">
        <is>
          <t>IR 2024: ratings p.52; dims p.201-203</t>
        </is>
      </c>
      <c r="W56" s="11" t="inlineStr">
        <is>
          <t>Smallest housing with Sf ≥ 1.5 at 0.37 kW / 1400 rpm. Ratio deviation +4.4% vs 1:30. Quote both reducer-only and gearmotor lines (RFQ).</t>
        </is>
      </c>
      <c r="X56" s="13" t="inlineStr">
        <is>
          <t>IRAP 53 – IEC 71 B5 / B14</t>
        </is>
      </c>
      <c r="Y56" s="14" t="inlineStr">
        <is>
          <t>p.15 (IRP series, IEC B5/B14 flanged)</t>
        </is>
      </c>
      <c r="Z56" s="14" t="inlineStr">
        <is>
          <t>YES</t>
        </is>
      </c>
      <c r="AA56" s="15" t="n">
        <v>278</v>
      </c>
      <c r="AB56" s="14" t="inlineStr">
        <is>
          <t>Gear unit with IEC input flange, solid output shaft, foot mounted</t>
        </is>
      </c>
      <c r="AC56" s="16">
        <f>ROUND(AA56*(1-$L$2),2)</f>
        <v/>
      </c>
      <c r="AD56" s="17">
        <f>J56*AC56</f>
        <v/>
      </c>
      <c r="AE56" s="14" t="inlineStr">
        <is>
          <t>Complete gearmotor not priced here (IEC reducer requested); gearmotor prices are on price list pp.3-13 by kW/rpm</t>
        </is>
      </c>
      <c r="AF56" s="18" t="n"/>
    </row>
    <row r="57">
      <c r="A57" s="8" t="inlineStr">
        <is>
          <t>GB-053</t>
        </is>
      </c>
      <c r="B57" s="8" t="inlineStr">
        <is>
          <t>Helical Inline</t>
        </is>
      </c>
      <c r="C57" s="8" t="inlineStr">
        <is>
          <t>R / Equivalent</t>
        </is>
      </c>
      <c r="D57" s="8" t="inlineStr">
        <is>
          <t>Supplier selection</t>
        </is>
      </c>
      <c r="E57" s="8" t="n">
        <v>0.37</v>
      </c>
      <c r="F57" s="8" t="inlineStr">
        <is>
          <t>1:40</t>
        </is>
      </c>
      <c r="G57" s="8" t="inlineStr">
        <is>
          <t>B3 foot</t>
        </is>
      </c>
      <c r="H57" s="8" t="inlineStr">
        <is>
          <t>Solid output shaft</t>
        </is>
      </c>
      <c r="I57" s="8" t="inlineStr">
        <is>
          <t>IEC motor adaptor/input</t>
        </is>
      </c>
      <c r="J57" s="8" t="n">
        <v>1</v>
      </c>
      <c r="K57" s="9" t="inlineStr">
        <is>
          <t>İR (helical inline)</t>
        </is>
      </c>
      <c r="L57" s="10" t="inlineStr">
        <is>
          <t>İRAP 53  i=39.09  + IEC 71 B5 input (code 155)</t>
        </is>
      </c>
      <c r="M57" s="11" t="inlineStr">
        <is>
          <t>İRAM 53 / 71 M 4b</t>
        </is>
      </c>
      <c r="N57" s="12" t="n">
        <v>39.09</v>
      </c>
      <c r="O57" s="9" t="n">
        <v>35</v>
      </c>
      <c r="P57" s="9" t="n">
        <v>96</v>
      </c>
      <c r="Q57" s="11" t="inlineStr">
        <is>
          <t>Sf 2.07</t>
        </is>
      </c>
      <c r="R57" s="11" t="inlineStr">
        <is>
          <t>Gearmotor table, 4-pole motor, n1≈1400 rpm</t>
        </is>
      </c>
      <c r="S57" s="11" t="inlineStr">
        <is>
          <t>Solid output shaft (foot mounted)</t>
        </is>
      </c>
      <c r="T57" s="11" t="inlineStr">
        <is>
          <t>IEC 71 B5 (motor 71 M 4b)</t>
        </is>
      </c>
      <c r="U57" s="11" t="inlineStr">
        <is>
          <t>IEC B5 input flange 155 (or 156 PAM with coupling); İRAFM foot+flange version available</t>
        </is>
      </c>
      <c r="V57" s="11" t="inlineStr">
        <is>
          <t>IR 2024: ratings p.52; dims p.201-203</t>
        </is>
      </c>
      <c r="W57" s="11" t="inlineStr">
        <is>
          <t>Smallest housing with Sf ≥ 1.5 at 0.37 kW / 1400 rpm. Ratio deviation -2.3% vs 1:40. Quote both reducer-only and gearmotor lines (RFQ).</t>
        </is>
      </c>
      <c r="X57" s="13" t="inlineStr">
        <is>
          <t>IRAP 53 – IEC 71 B5 / B14</t>
        </is>
      </c>
      <c r="Y57" s="14" t="inlineStr">
        <is>
          <t>p.15 (IRP series, IEC B5/B14 flanged)</t>
        </is>
      </c>
      <c r="Z57" s="14" t="inlineStr">
        <is>
          <t>YES</t>
        </is>
      </c>
      <c r="AA57" s="15" t="n">
        <v>278</v>
      </c>
      <c r="AB57" s="14" t="inlineStr">
        <is>
          <t>Gear unit with IEC input flange, solid output shaft, foot mounted</t>
        </is>
      </c>
      <c r="AC57" s="16">
        <f>ROUND(AA57*(1-$L$2),2)</f>
        <v/>
      </c>
      <c r="AD57" s="17">
        <f>J57*AC57</f>
        <v/>
      </c>
      <c r="AE57" s="14" t="inlineStr">
        <is>
          <t>Complete gearmotor not priced here (IEC reducer requested); gearmotor prices are on price list pp.3-13 by kW/rpm</t>
        </is>
      </c>
      <c r="AF57" s="18" t="n"/>
    </row>
    <row r="58">
      <c r="A58" s="8" t="inlineStr">
        <is>
          <t>GB-054</t>
        </is>
      </c>
      <c r="B58" s="8" t="inlineStr">
        <is>
          <t>Helical Inline</t>
        </is>
      </c>
      <c r="C58" s="8" t="inlineStr">
        <is>
          <t>R / Equivalent</t>
        </is>
      </c>
      <c r="D58" s="8" t="inlineStr">
        <is>
          <t>Supplier selection</t>
        </is>
      </c>
      <c r="E58" s="8" t="n">
        <v>0.55</v>
      </c>
      <c r="F58" s="8" t="inlineStr">
        <is>
          <t>1:10</t>
        </is>
      </c>
      <c r="G58" s="8" t="inlineStr">
        <is>
          <t>B3 foot</t>
        </is>
      </c>
      <c r="H58" s="8" t="inlineStr">
        <is>
          <t>Solid output shaft</t>
        </is>
      </c>
      <c r="I58" s="8" t="inlineStr">
        <is>
          <t>IEC motor adaptor/input</t>
        </is>
      </c>
      <c r="J58" s="8" t="n">
        <v>1</v>
      </c>
      <c r="K58" s="9" t="inlineStr">
        <is>
          <t>İR (helical inline)</t>
        </is>
      </c>
      <c r="L58" s="10" t="inlineStr">
        <is>
          <t>İRAP 52  i=9.47  + IEC 80 B5 input (code 155)</t>
        </is>
      </c>
      <c r="M58" s="11" t="inlineStr">
        <is>
          <t>İRAM 52 / 80 M 4a</t>
        </is>
      </c>
      <c r="N58" s="12" t="n">
        <v>9.470000000000001</v>
      </c>
      <c r="O58" s="9" t="n">
        <v>147</v>
      </c>
      <c r="P58" s="9" t="n">
        <v>35</v>
      </c>
      <c r="Q58" s="11" t="inlineStr">
        <is>
          <t>Sf 4.4</t>
        </is>
      </c>
      <c r="R58" s="11" t="inlineStr">
        <is>
          <t>Gearmotor table, 4-pole motor, n1≈1400 rpm</t>
        </is>
      </c>
      <c r="S58" s="11" t="inlineStr">
        <is>
          <t>Solid output shaft (foot mounted)</t>
        </is>
      </c>
      <c r="T58" s="11" t="inlineStr">
        <is>
          <t>IEC 80 B5 (motor 80 M 4a)</t>
        </is>
      </c>
      <c r="U58" s="11" t="inlineStr">
        <is>
          <t>IEC B5 input flange 155 (or 156 PAM with coupling); İRAFM foot+flange version available</t>
        </is>
      </c>
      <c r="V58" s="11" t="inlineStr">
        <is>
          <t>IR 2024: ratings p.57; dims p.201-203</t>
        </is>
      </c>
      <c r="W58" s="11" t="inlineStr">
        <is>
          <t>Smallest housing with Sf ≥ 1.5 at 0.55 kW / 1400 rpm. Ratio deviation -5.3% vs 1:10. Quote both reducer-only and gearmotor lines (RFQ).</t>
        </is>
      </c>
      <c r="X58" s="13" t="inlineStr">
        <is>
          <t>IRAP 52 – IEC 80 B5 / B14</t>
        </is>
      </c>
      <c r="Y58" s="14" t="inlineStr">
        <is>
          <t>p.15 (IRP series, IEC B5/B14 flanged)</t>
        </is>
      </c>
      <c r="Z58" s="14" t="inlineStr">
        <is>
          <t>YES</t>
        </is>
      </c>
      <c r="AA58" s="15" t="n">
        <v>277</v>
      </c>
      <c r="AB58" s="14" t="inlineStr">
        <is>
          <t>Gear unit with IEC input flange, solid output shaft, foot mounted</t>
        </is>
      </c>
      <c r="AC58" s="16">
        <f>ROUND(AA58*(1-$L$2),2)</f>
        <v/>
      </c>
      <c r="AD58" s="17">
        <f>J58*AC58</f>
        <v/>
      </c>
      <c r="AE58" s="14" t="inlineStr">
        <is>
          <t>Complete gearmotor not priced here (IEC reducer requested); gearmotor prices are on price list pp.3-13 by kW/rpm</t>
        </is>
      </c>
      <c r="AF58" s="18" t="n"/>
    </row>
    <row r="59">
      <c r="A59" s="8" t="inlineStr">
        <is>
          <t>GB-055</t>
        </is>
      </c>
      <c r="B59" s="8" t="inlineStr">
        <is>
          <t>Helical Inline</t>
        </is>
      </c>
      <c r="C59" s="8" t="inlineStr">
        <is>
          <t>R / Equivalent</t>
        </is>
      </c>
      <c r="D59" s="8" t="inlineStr">
        <is>
          <t>Supplier selection</t>
        </is>
      </c>
      <c r="E59" s="8" t="n">
        <v>0.55</v>
      </c>
      <c r="F59" s="8" t="inlineStr">
        <is>
          <t>1:15</t>
        </is>
      </c>
      <c r="G59" s="8" t="inlineStr">
        <is>
          <t>B3 foot</t>
        </is>
      </c>
      <c r="H59" s="8" t="inlineStr">
        <is>
          <t>Solid output shaft</t>
        </is>
      </c>
      <c r="I59" s="8" t="inlineStr">
        <is>
          <t>IEC motor adaptor/input</t>
        </is>
      </c>
      <c r="J59" s="8" t="n">
        <v>1</v>
      </c>
      <c r="K59" s="9" t="inlineStr">
        <is>
          <t>İR (helical inline)</t>
        </is>
      </c>
      <c r="L59" s="10" t="inlineStr">
        <is>
          <t>İRAP 43  i=14.6  + IEC 80 B5 input (code 155)</t>
        </is>
      </c>
      <c r="M59" s="11" t="inlineStr">
        <is>
          <t>İRAM 43 / 80 M 4a</t>
        </is>
      </c>
      <c r="N59" s="12" t="n">
        <v>14.6</v>
      </c>
      <c r="O59" s="9" t="n">
        <v>95</v>
      </c>
      <c r="P59" s="9" t="n">
        <v>53</v>
      </c>
      <c r="Q59" s="11" t="inlineStr">
        <is>
          <t>Sf 1.54</t>
        </is>
      </c>
      <c r="R59" s="11" t="inlineStr">
        <is>
          <t>Gearmotor table, 4-pole motor, n1≈1400 rpm</t>
        </is>
      </c>
      <c r="S59" s="11" t="inlineStr">
        <is>
          <t>Solid output shaft (foot mounted)</t>
        </is>
      </c>
      <c r="T59" s="11" t="inlineStr">
        <is>
          <t>IEC 80 B5 (motor 80 M 4a)</t>
        </is>
      </c>
      <c r="U59" s="11" t="inlineStr">
        <is>
          <t>IEC B5 input flange 155 (or 156 PAM with coupling); İRAFM foot+flange version available</t>
        </is>
      </c>
      <c r="V59" s="11" t="inlineStr">
        <is>
          <t>IR 2024: ratings p.57; dims p.195-197</t>
        </is>
      </c>
      <c r="W59" s="11" t="inlineStr">
        <is>
          <t>Smallest housing with Sf ≥ 1.5 at 0.55 kW / 1400 rpm. Ratio deviation -2.7% vs 1:15. Larger alternatives: 52 (i=15.05, Sf=2.89). Quote both reducer-only and gearmotor lines (RFQ).</t>
        </is>
      </c>
      <c r="X59" s="13" t="inlineStr">
        <is>
          <t>IRAP 43 – IEC 80 B5 / B14</t>
        </is>
      </c>
      <c r="Y59" s="14" t="inlineStr">
        <is>
          <t>p.15 (IRP series, IEC B5/B14 flanged)</t>
        </is>
      </c>
      <c r="Z59" s="14" t="inlineStr">
        <is>
          <t>YES</t>
        </is>
      </c>
      <c r="AA59" s="15" t="n">
        <v>238</v>
      </c>
      <c r="AB59" s="14" t="inlineStr">
        <is>
          <t>Gear unit with IEC input flange, solid output shaft, foot mounted</t>
        </is>
      </c>
      <c r="AC59" s="16">
        <f>ROUND(AA59*(1-$L$2),2)</f>
        <v/>
      </c>
      <c r="AD59" s="17">
        <f>J59*AC59</f>
        <v/>
      </c>
      <c r="AE59" s="14" t="inlineStr">
        <is>
          <t>Complete gearmotor not priced here (IEC reducer requested); gearmotor prices are on price list pp.3-13 by kW/rpm</t>
        </is>
      </c>
      <c r="AF59" s="18" t="n"/>
    </row>
    <row r="60">
      <c r="A60" s="8" t="inlineStr">
        <is>
          <t>GB-056</t>
        </is>
      </c>
      <c r="B60" s="8" t="inlineStr">
        <is>
          <t>Helical Inline</t>
        </is>
      </c>
      <c r="C60" s="8" t="inlineStr">
        <is>
          <t>R / Equivalent</t>
        </is>
      </c>
      <c r="D60" s="8" t="inlineStr">
        <is>
          <t>Supplier selection</t>
        </is>
      </c>
      <c r="E60" s="8" t="n">
        <v>0.55</v>
      </c>
      <c r="F60" s="8" t="inlineStr">
        <is>
          <t>1:20</t>
        </is>
      </c>
      <c r="G60" s="8" t="inlineStr">
        <is>
          <t>B3 foot</t>
        </is>
      </c>
      <c r="H60" s="8" t="inlineStr">
        <is>
          <t>Solid output shaft</t>
        </is>
      </c>
      <c r="I60" s="8" t="inlineStr">
        <is>
          <t>IEC motor adaptor/input</t>
        </is>
      </c>
      <c r="J60" s="8" t="n">
        <v>1</v>
      </c>
      <c r="K60" s="9" t="inlineStr">
        <is>
          <t>İR (helical inline)</t>
        </is>
      </c>
      <c r="L60" s="10" t="inlineStr">
        <is>
          <t>İRAP 53  i=21.88  + IEC 80 B5 input (code 155)</t>
        </is>
      </c>
      <c r="M60" s="11" t="inlineStr">
        <is>
          <t>İRAM 53 / 80 M 4a</t>
        </is>
      </c>
      <c r="N60" s="12" t="n">
        <v>21.88</v>
      </c>
      <c r="O60" s="9" t="n">
        <v>63</v>
      </c>
      <c r="P60" s="9" t="n">
        <v>80</v>
      </c>
      <c r="Q60" s="11" t="inlineStr">
        <is>
          <t>Sf 2.22</t>
        </is>
      </c>
      <c r="R60" s="11" t="inlineStr">
        <is>
          <t>Gearmotor table, 4-pole motor, n1≈1400 rpm</t>
        </is>
      </c>
      <c r="S60" s="11" t="inlineStr">
        <is>
          <t>Solid output shaft (foot mounted)</t>
        </is>
      </c>
      <c r="T60" s="11" t="inlineStr">
        <is>
          <t>IEC 80 B5 (motor 80 M 4a)</t>
        </is>
      </c>
      <c r="U60" s="11" t="inlineStr">
        <is>
          <t>IEC B5 input flange 155 (or 156 PAM with coupling); İRAFM foot+flange version available</t>
        </is>
      </c>
      <c r="V60" s="11" t="inlineStr">
        <is>
          <t>IR 2024: ratings p.57; dims p.201-203</t>
        </is>
      </c>
      <c r="W60" s="11" t="inlineStr">
        <is>
          <t>Smallest housing with Sf ≥ 1.5 at 0.55 kW / 1400 rpm. Ratio deviation +9.4% vs 1:20. Quote both reducer-only and gearmotor lines (RFQ).</t>
        </is>
      </c>
      <c r="X60" s="13" t="inlineStr">
        <is>
          <t>IRAP 53 – IEC 80 B5 / B14</t>
        </is>
      </c>
      <c r="Y60" s="14" t="inlineStr">
        <is>
          <t>p.15 (IRP series, IEC B5/B14 flanged)</t>
        </is>
      </c>
      <c r="Z60" s="14" t="inlineStr">
        <is>
          <t>YES</t>
        </is>
      </c>
      <c r="AA60" s="15" t="n">
        <v>288</v>
      </c>
      <c r="AB60" s="14" t="inlineStr">
        <is>
          <t>Gear unit with IEC input flange, solid output shaft, foot mounted</t>
        </is>
      </c>
      <c r="AC60" s="16">
        <f>ROUND(AA60*(1-$L$2),2)</f>
        <v/>
      </c>
      <c r="AD60" s="17">
        <f>J60*AC60</f>
        <v/>
      </c>
      <c r="AE60" s="14" t="inlineStr">
        <is>
          <t>Complete gearmotor not priced here (IEC reducer requested); gearmotor prices are on price list pp.3-13 by kW/rpm</t>
        </is>
      </c>
      <c r="AF60" s="18" t="n"/>
    </row>
    <row r="61">
      <c r="A61" s="8" t="inlineStr">
        <is>
          <t>GB-057</t>
        </is>
      </c>
      <c r="B61" s="8" t="inlineStr">
        <is>
          <t>Helical Inline</t>
        </is>
      </c>
      <c r="C61" s="8" t="inlineStr">
        <is>
          <t>R / Equivalent</t>
        </is>
      </c>
      <c r="D61" s="8" t="inlineStr">
        <is>
          <t>Supplier selection</t>
        </is>
      </c>
      <c r="E61" s="8" t="n">
        <v>0.55</v>
      </c>
      <c r="F61" s="8" t="inlineStr">
        <is>
          <t>1:30</t>
        </is>
      </c>
      <c r="G61" s="8" t="inlineStr">
        <is>
          <t>B3 foot</t>
        </is>
      </c>
      <c r="H61" s="8" t="inlineStr">
        <is>
          <t>Solid output shaft</t>
        </is>
      </c>
      <c r="I61" s="8" t="inlineStr">
        <is>
          <t>IEC motor adaptor/input</t>
        </is>
      </c>
      <c r="J61" s="8" t="n">
        <v>1</v>
      </c>
      <c r="K61" s="9" t="inlineStr">
        <is>
          <t>İR (helical inline)</t>
        </is>
      </c>
      <c r="L61" s="10" t="inlineStr">
        <is>
          <t>İRAP 53  i=31.33  + IEC 80 B5 input (code 155)</t>
        </is>
      </c>
      <c r="M61" s="11" t="inlineStr">
        <is>
          <t>İRAM 53 / 80 M 4a</t>
        </is>
      </c>
      <c r="N61" s="12" t="n">
        <v>31.33</v>
      </c>
      <c r="O61" s="9" t="n">
        <v>44</v>
      </c>
      <c r="P61" s="9" t="n">
        <v>114</v>
      </c>
      <c r="Q61" s="11" t="inlineStr">
        <is>
          <t>Sf 1.68</t>
        </is>
      </c>
      <c r="R61" s="11" t="inlineStr">
        <is>
          <t>Gearmotor table, 4-pole motor, n1≈1400 rpm</t>
        </is>
      </c>
      <c r="S61" s="11" t="inlineStr">
        <is>
          <t>Solid output shaft (foot mounted)</t>
        </is>
      </c>
      <c r="T61" s="11" t="inlineStr">
        <is>
          <t>IEC 80 B5 (motor 80 M 4a)</t>
        </is>
      </c>
      <c r="U61" s="11" t="inlineStr">
        <is>
          <t>IEC B5 input flange 155 (or 156 PAM with coupling); İRAFM foot+flange version available</t>
        </is>
      </c>
      <c r="V61" s="11" t="inlineStr">
        <is>
          <t>IR 2024: ratings p.57; dims p.201-203</t>
        </is>
      </c>
      <c r="W61" s="11" t="inlineStr">
        <is>
          <t>Smallest housing with Sf ≥ 1.5 at 0.55 kW / 1400 rpm. Ratio deviation +4.4% vs 1:30. Quote both reducer-only and gearmotor lines (RFQ).</t>
        </is>
      </c>
      <c r="X61" s="13" t="inlineStr">
        <is>
          <t>IRAP 53 – IEC 80 B5 / B14</t>
        </is>
      </c>
      <c r="Y61" s="14" t="inlineStr">
        <is>
          <t>p.15 (IRP series, IEC B5/B14 flanged)</t>
        </is>
      </c>
      <c r="Z61" s="14" t="inlineStr">
        <is>
          <t>YES</t>
        </is>
      </c>
      <c r="AA61" s="15" t="n">
        <v>288</v>
      </c>
      <c r="AB61" s="14" t="inlineStr">
        <is>
          <t>Gear unit with IEC input flange, solid output shaft, foot mounted</t>
        </is>
      </c>
      <c r="AC61" s="16">
        <f>ROUND(AA61*(1-$L$2),2)</f>
        <v/>
      </c>
      <c r="AD61" s="17">
        <f>J61*AC61</f>
        <v/>
      </c>
      <c r="AE61" s="14" t="inlineStr">
        <is>
          <t>Complete gearmotor not priced here (IEC reducer requested); gearmotor prices are on price list pp.3-13 by kW/rpm</t>
        </is>
      </c>
      <c r="AF61" s="18" t="n"/>
    </row>
    <row r="62">
      <c r="A62" s="8" t="inlineStr">
        <is>
          <t>GB-058</t>
        </is>
      </c>
      <c r="B62" s="8" t="inlineStr">
        <is>
          <t>Helical Inline</t>
        </is>
      </c>
      <c r="C62" s="8" t="inlineStr">
        <is>
          <t>R / Equivalent</t>
        </is>
      </c>
      <c r="D62" s="8" t="inlineStr">
        <is>
          <t>Supplier selection</t>
        </is>
      </c>
      <c r="E62" s="8" t="n">
        <v>0.75</v>
      </c>
      <c r="F62" s="8" t="inlineStr">
        <is>
          <t>1:10</t>
        </is>
      </c>
      <c r="G62" s="8" t="inlineStr">
        <is>
          <t>B3 foot</t>
        </is>
      </c>
      <c r="H62" s="8" t="inlineStr">
        <is>
          <t>Solid output shaft</t>
        </is>
      </c>
      <c r="I62" s="8" t="inlineStr">
        <is>
          <t>IEC motor adaptor/input</t>
        </is>
      </c>
      <c r="J62" s="8" t="n">
        <v>2</v>
      </c>
      <c r="K62" s="9" t="inlineStr">
        <is>
          <t>İR (helical inline)</t>
        </is>
      </c>
      <c r="L62" s="10" t="inlineStr">
        <is>
          <t>İRAP 52  i=9.47  + IEC 80 B5 input (code 155)</t>
        </is>
      </c>
      <c r="M62" s="11" t="inlineStr">
        <is>
          <t>İRAM 52 / 80 M 4b</t>
        </is>
      </c>
      <c r="N62" s="12" t="n">
        <v>9.470000000000001</v>
      </c>
      <c r="O62" s="9" t="n">
        <v>147</v>
      </c>
      <c r="P62" s="9" t="n">
        <v>47</v>
      </c>
      <c r="Q62" s="11" t="inlineStr">
        <is>
          <t>Sf 3.23</t>
        </is>
      </c>
      <c r="R62" s="11" t="inlineStr">
        <is>
          <t>Gearmotor table, 4-pole motor, n1≈1400 rpm</t>
        </is>
      </c>
      <c r="S62" s="11" t="inlineStr">
        <is>
          <t>Solid output shaft (foot mounted)</t>
        </is>
      </c>
      <c r="T62" s="11" t="inlineStr">
        <is>
          <t>IEC 80 B5 (motor 80 M 4b)</t>
        </is>
      </c>
      <c r="U62" s="11" t="inlineStr">
        <is>
          <t>IEC B5 input flange 155 (or 156 PAM with coupling); İRAFM foot+flange version available</t>
        </is>
      </c>
      <c r="V62" s="11" t="inlineStr">
        <is>
          <t>IR 2024: ratings p.62; dims p.201-203</t>
        </is>
      </c>
      <c r="W62" s="11" t="inlineStr">
        <is>
          <t>Smallest housing with Sf ≥ 1.5 at 0.75 kW / 1400 rpm. Ratio deviation -5.3% vs 1:10. Quote both reducer-only and gearmotor lines (RFQ).</t>
        </is>
      </c>
      <c r="X62" s="13" t="inlineStr">
        <is>
          <t>IRAP 52 – IEC 80 B5 / B14</t>
        </is>
      </c>
      <c r="Y62" s="14" t="inlineStr">
        <is>
          <t>p.15 (IRP series, IEC B5/B14 flanged)</t>
        </is>
      </c>
      <c r="Z62" s="14" t="inlineStr">
        <is>
          <t>YES</t>
        </is>
      </c>
      <c r="AA62" s="15" t="n">
        <v>277</v>
      </c>
      <c r="AB62" s="14" t="inlineStr">
        <is>
          <t>Gear unit with IEC input flange, solid output shaft, foot mounted</t>
        </is>
      </c>
      <c r="AC62" s="16">
        <f>ROUND(AA62*(1-$L$2),2)</f>
        <v/>
      </c>
      <c r="AD62" s="17">
        <f>J62*AC62</f>
        <v/>
      </c>
      <c r="AE62" s="14" t="inlineStr">
        <is>
          <t>Complete gearmotor not priced here (IEC reducer requested); gearmotor prices are on price list pp.3-13 by kW/rpm</t>
        </is>
      </c>
      <c r="AF62" s="18" t="n"/>
    </row>
    <row r="63">
      <c r="A63" s="8" t="inlineStr">
        <is>
          <t>GB-059</t>
        </is>
      </c>
      <c r="B63" s="8" t="inlineStr">
        <is>
          <t>Helical Inline</t>
        </is>
      </c>
      <c r="C63" s="8" t="inlineStr">
        <is>
          <t>R / Equivalent</t>
        </is>
      </c>
      <c r="D63" s="8" t="inlineStr">
        <is>
          <t>Supplier selection</t>
        </is>
      </c>
      <c r="E63" s="8" t="n">
        <v>0.75</v>
      </c>
      <c r="F63" s="8" t="inlineStr">
        <is>
          <t>1:20</t>
        </is>
      </c>
      <c r="G63" s="8" t="inlineStr">
        <is>
          <t>B3 foot</t>
        </is>
      </c>
      <c r="H63" s="8" t="inlineStr">
        <is>
          <t>Solid output shaft</t>
        </is>
      </c>
      <c r="I63" s="8" t="inlineStr">
        <is>
          <t>IEC motor adaptor/input</t>
        </is>
      </c>
      <c r="J63" s="8" t="n">
        <v>2</v>
      </c>
      <c r="K63" s="9" t="inlineStr">
        <is>
          <t>İR (helical inline)</t>
        </is>
      </c>
      <c r="L63" s="10" t="inlineStr">
        <is>
          <t>İRAP 53  i=19.69  + IEC 80 B5 input (code 155)</t>
        </is>
      </c>
      <c r="M63" s="11" t="inlineStr">
        <is>
          <t>İRAM 53 / 80 M 4b</t>
        </is>
      </c>
      <c r="N63" s="12" t="n">
        <v>19.69</v>
      </c>
      <c r="O63" s="9" t="n">
        <v>71</v>
      </c>
      <c r="P63" s="9" t="n">
        <v>96</v>
      </c>
      <c r="Q63" s="11" t="inlineStr">
        <is>
          <t>Sf 1.81</t>
        </is>
      </c>
      <c r="R63" s="11" t="inlineStr">
        <is>
          <t>Gearmotor table, 4-pole motor, n1≈1400 rpm</t>
        </is>
      </c>
      <c r="S63" s="11" t="inlineStr">
        <is>
          <t>Solid output shaft (foot mounted)</t>
        </is>
      </c>
      <c r="T63" s="11" t="inlineStr">
        <is>
          <t>IEC 80 B5 (motor 80 M 4b)</t>
        </is>
      </c>
      <c r="U63" s="11" t="inlineStr">
        <is>
          <t>IEC B5 input flange 155 (or 156 PAM with coupling); İRAFM foot+flange version available</t>
        </is>
      </c>
      <c r="V63" s="11" t="inlineStr">
        <is>
          <t>IR 2024: ratings p.61; dims p.201-203</t>
        </is>
      </c>
      <c r="W63" s="11" t="inlineStr">
        <is>
          <t>Smallest housing with Sf ≥ 1.5 at 0.75 kW / 1400 rpm. Ratio deviation -1.5% vs 1:20. Quote both reducer-only and gearmotor lines (RFQ).</t>
        </is>
      </c>
      <c r="X63" s="13" t="inlineStr">
        <is>
          <t>IRAP 53 – IEC 80 B5 / B14</t>
        </is>
      </c>
      <c r="Y63" s="14" t="inlineStr">
        <is>
          <t>p.15 (IRP series, IEC B5/B14 flanged)</t>
        </is>
      </c>
      <c r="Z63" s="14" t="inlineStr">
        <is>
          <t>YES</t>
        </is>
      </c>
      <c r="AA63" s="15" t="n">
        <v>288</v>
      </c>
      <c r="AB63" s="14" t="inlineStr">
        <is>
          <t>Gear unit with IEC input flange, solid output shaft, foot mounted</t>
        </is>
      </c>
      <c r="AC63" s="16">
        <f>ROUND(AA63*(1-$L$2),2)</f>
        <v/>
      </c>
      <c r="AD63" s="17">
        <f>J63*AC63</f>
        <v/>
      </c>
      <c r="AE63" s="14" t="inlineStr">
        <is>
          <t>Complete gearmotor not priced here (IEC reducer requested); gearmotor prices are on price list pp.3-13 by kW/rpm</t>
        </is>
      </c>
      <c r="AF63" s="18" t="n"/>
    </row>
    <row r="64">
      <c r="A64" s="8" t="inlineStr">
        <is>
          <t>GB-060</t>
        </is>
      </c>
      <c r="B64" s="8" t="inlineStr">
        <is>
          <t>Helical Inline</t>
        </is>
      </c>
      <c r="C64" s="8" t="inlineStr">
        <is>
          <t>R / Equivalent</t>
        </is>
      </c>
      <c r="D64" s="8" t="inlineStr">
        <is>
          <t>Supplier selection</t>
        </is>
      </c>
      <c r="E64" s="8" t="n">
        <v>0.75</v>
      </c>
      <c r="F64" s="8" t="inlineStr">
        <is>
          <t>1:30</t>
        </is>
      </c>
      <c r="G64" s="8" t="inlineStr">
        <is>
          <t>B3 foot</t>
        </is>
      </c>
      <c r="H64" s="8" t="inlineStr">
        <is>
          <t>Solid output shaft</t>
        </is>
      </c>
      <c r="I64" s="8" t="inlineStr">
        <is>
          <t>IEC motor adaptor/input</t>
        </is>
      </c>
      <c r="J64" s="8" t="n">
        <v>1</v>
      </c>
      <c r="K64" s="9" t="inlineStr">
        <is>
          <t>İR (helical inline)</t>
        </is>
      </c>
      <c r="L64" s="10" t="inlineStr">
        <is>
          <t>İRAP 63  i=29.85  + IEC 80 B5 input (code 155)</t>
        </is>
      </c>
      <c r="M64" s="11" t="inlineStr">
        <is>
          <t>İRAM 63 / 80 M 4b</t>
        </is>
      </c>
      <c r="N64" s="12" t="n">
        <v>29.85</v>
      </c>
      <c r="O64" s="9" t="n">
        <v>46</v>
      </c>
      <c r="P64" s="9" t="n">
        <v>149</v>
      </c>
      <c r="Q64" s="11" t="inlineStr">
        <is>
          <t>Sf 3.22</t>
        </is>
      </c>
      <c r="R64" s="11" t="inlineStr">
        <is>
          <t>Gearmotor table, 4-pole motor, n1≈1400 rpm</t>
        </is>
      </c>
      <c r="S64" s="11" t="inlineStr">
        <is>
          <t>Solid output shaft (foot mounted)</t>
        </is>
      </c>
      <c r="T64" s="11" t="inlineStr">
        <is>
          <t>IEC 80 B5 (motor 80 M 4b)</t>
        </is>
      </c>
      <c r="U64" s="11" t="inlineStr">
        <is>
          <t>IEC B5 input flange 155 (or 156 PAM with coupling); İRAFM foot+flange version available</t>
        </is>
      </c>
      <c r="V64" s="11" t="inlineStr">
        <is>
          <t>IR 2024: ratings p.61; dims p.231-234</t>
        </is>
      </c>
      <c r="W64" s="11" t="inlineStr">
        <is>
          <t>Smallest housing with Sf ≥ 1.5 at 0.75 kW / 1400 rpm. Ratio deviation -0.5% vs 1:30. Quote both reducer-only and gearmotor lines (RFQ).</t>
        </is>
      </c>
      <c r="X64" s="13" t="inlineStr">
        <is>
          <t>IRAP 63 – IEC 80 B5 / B14</t>
        </is>
      </c>
      <c r="Y64" s="14" t="inlineStr">
        <is>
          <t>p.15 (IRP series, IEC B5/B14 flanged)</t>
        </is>
      </c>
      <c r="Z64" s="14" t="inlineStr">
        <is>
          <t>YES</t>
        </is>
      </c>
      <c r="AA64" s="15" t="n">
        <v>422</v>
      </c>
      <c r="AB64" s="14" t="inlineStr">
        <is>
          <t>Gear unit with IEC input flange, solid output shaft, foot mounted</t>
        </is>
      </c>
      <c r="AC64" s="16">
        <f>ROUND(AA64*(1-$L$2),2)</f>
        <v/>
      </c>
      <c r="AD64" s="17">
        <f>J64*AC64</f>
        <v/>
      </c>
      <c r="AE64" s="14" t="inlineStr">
        <is>
          <t>Complete gearmotor not priced here (IEC reducer requested); gearmotor prices are on price list pp.3-13 by kW/rpm</t>
        </is>
      </c>
      <c r="AF64" s="18" t="n"/>
    </row>
    <row r="65">
      <c r="A65" s="8" t="inlineStr">
        <is>
          <t>GB-061</t>
        </is>
      </c>
      <c r="B65" s="8" t="inlineStr">
        <is>
          <t>Helical Inline</t>
        </is>
      </c>
      <c r="C65" s="8" t="inlineStr">
        <is>
          <t>R / Equivalent</t>
        </is>
      </c>
      <c r="D65" s="8" t="inlineStr">
        <is>
          <t>Supplier selection</t>
        </is>
      </c>
      <c r="E65" s="8" t="n">
        <v>0.75</v>
      </c>
      <c r="F65" s="8" t="inlineStr">
        <is>
          <t>1:40</t>
        </is>
      </c>
      <c r="G65" s="8" t="inlineStr">
        <is>
          <t>B3 foot</t>
        </is>
      </c>
      <c r="H65" s="8" t="inlineStr">
        <is>
          <t>Solid output shaft</t>
        </is>
      </c>
      <c r="I65" s="8" t="inlineStr">
        <is>
          <t>IEC motor adaptor/input</t>
        </is>
      </c>
      <c r="J65" s="8" t="n">
        <v>1</v>
      </c>
      <c r="K65" s="9" t="inlineStr">
        <is>
          <t>İR (helical inline)</t>
        </is>
      </c>
      <c r="L65" s="10" t="inlineStr">
        <is>
          <t>İRAP 731  i=39.88  + IEC 80 B5 input (code 155)</t>
        </is>
      </c>
      <c r="M65" s="11" t="inlineStr">
        <is>
          <t>İRAM 731 / 80 M 4b</t>
        </is>
      </c>
      <c r="N65" s="12" t="n">
        <v>39.88</v>
      </c>
      <c r="O65" s="9" t="n">
        <v>35</v>
      </c>
      <c r="P65" s="9" t="n">
        <v>196</v>
      </c>
      <c r="Q65" s="11" t="inlineStr">
        <is>
          <t>Sf 3.22</t>
        </is>
      </c>
      <c r="R65" s="11" t="inlineStr">
        <is>
          <t>Gearmotor table, 4-pole motor, n1≈1400 rpm</t>
        </is>
      </c>
      <c r="S65" s="11" t="inlineStr">
        <is>
          <t>Solid output shaft (foot mounted)</t>
        </is>
      </c>
      <c r="T65" s="11" t="inlineStr">
        <is>
          <t>IEC 80 B5 (motor 80 M 4b)</t>
        </is>
      </c>
      <c r="U65" s="11" t="inlineStr">
        <is>
          <t>IEC B5 input flange 155 (or 156 PAM with coupling); İRAFM foot+flange version available</t>
        </is>
      </c>
      <c r="V65" s="11" t="inlineStr">
        <is>
          <t>IR 2024: ratings p.61; dims p.251-254</t>
        </is>
      </c>
      <c r="W65" s="11" t="inlineStr">
        <is>
          <t>Smallest housing with Sf ≥ 1.5 at 0.75 kW / 1400 rpm. Ratio deviation -0.3% vs 1:40. Quote both reducer-only and gearmotor lines (RFQ).</t>
        </is>
      </c>
      <c r="X65" s="13" t="inlineStr">
        <is>
          <t>IRAP 731 – IEC 80 B5</t>
        </is>
      </c>
      <c r="Y65" s="14" t="inlineStr">
        <is>
          <t>p.16 (IRP series, IEC B5/B14 flanged)</t>
        </is>
      </c>
      <c r="Z65" s="14" t="inlineStr">
        <is>
          <t>YES</t>
        </is>
      </c>
      <c r="AA65" s="15" t="n">
        <v>571</v>
      </c>
      <c r="AB65" s="14" t="inlineStr">
        <is>
          <t>Gear unit with IEC input flange, solid output shaft, foot mounted</t>
        </is>
      </c>
      <c r="AC65" s="16">
        <f>ROUND(AA65*(1-$L$2),2)</f>
        <v/>
      </c>
      <c r="AD65" s="17">
        <f>J65*AC65</f>
        <v/>
      </c>
      <c r="AE65" s="14" t="inlineStr">
        <is>
          <t>Complete gearmotor not priced here (IEC reducer requested); gearmotor prices are on price list pp.3-13 by kW/rpm</t>
        </is>
      </c>
      <c r="AF65" s="18" t="n"/>
    </row>
    <row r="66">
      <c r="A66" s="8" t="inlineStr">
        <is>
          <t>GB-062</t>
        </is>
      </c>
      <c r="B66" s="8" t="inlineStr">
        <is>
          <t>Helical Inline</t>
        </is>
      </c>
      <c r="C66" s="8" t="inlineStr">
        <is>
          <t>R / Equivalent</t>
        </is>
      </c>
      <c r="D66" s="8" t="inlineStr">
        <is>
          <t>Supplier selection</t>
        </is>
      </c>
      <c r="E66" s="8" t="n">
        <v>1.1</v>
      </c>
      <c r="F66" s="8" t="inlineStr">
        <is>
          <t>1:10</t>
        </is>
      </c>
      <c r="G66" s="8" t="inlineStr">
        <is>
          <t>B3 foot</t>
        </is>
      </c>
      <c r="H66" s="8" t="inlineStr">
        <is>
          <t>Solid output shaft</t>
        </is>
      </c>
      <c r="I66" s="8" t="inlineStr">
        <is>
          <t>IEC motor adaptor/input</t>
        </is>
      </c>
      <c r="J66" s="8" t="n">
        <v>1</v>
      </c>
      <c r="K66" s="9" t="inlineStr">
        <is>
          <t>İR (helical inline)</t>
        </is>
      </c>
      <c r="L66" s="10" t="inlineStr">
        <is>
          <t>İRAP 52  i=9.47  + IEC 90 B5 input (code 155)</t>
        </is>
      </c>
      <c r="M66" s="11" t="inlineStr">
        <is>
          <t>İRAM 52 / 90 S 4a</t>
        </is>
      </c>
      <c r="N66" s="12" t="n">
        <v>9.470000000000001</v>
      </c>
      <c r="O66" s="9" t="n">
        <v>147</v>
      </c>
      <c r="P66" s="9" t="n">
        <v>69</v>
      </c>
      <c r="Q66" s="11" t="inlineStr">
        <is>
          <t>Sf 2.2</t>
        </is>
      </c>
      <c r="R66" s="11" t="inlineStr">
        <is>
          <t>Gearmotor table, 4-pole motor, n1≈1400 rpm</t>
        </is>
      </c>
      <c r="S66" s="11" t="inlineStr">
        <is>
          <t>Solid output shaft (foot mounted)</t>
        </is>
      </c>
      <c r="T66" s="11" t="inlineStr">
        <is>
          <t>IEC 90 B5 (motor 90 S 4a)</t>
        </is>
      </c>
      <c r="U66" s="11" t="inlineStr">
        <is>
          <t>IEC B5 input flange 155 (or 156 PAM with coupling); İRAFM foot+flange version available</t>
        </is>
      </c>
      <c r="V66" s="11" t="inlineStr">
        <is>
          <t>IR 2024: ratings p.66; dims p.201-203</t>
        </is>
      </c>
      <c r="W66" s="11" t="inlineStr">
        <is>
          <t>Smallest housing with Sf ≥ 1.5 at 1.1 kW / 1400 rpm. Ratio deviation -5.3% vs 1:10. Quote both reducer-only and gearmotor lines (RFQ).</t>
        </is>
      </c>
      <c r="X66" s="13" t="inlineStr">
        <is>
          <t>IRAP 52 – IEC 90 B5 / B14</t>
        </is>
      </c>
      <c r="Y66" s="14" t="inlineStr">
        <is>
          <t>p.15 (IRP series, IEC B5/B14 flanged)</t>
        </is>
      </c>
      <c r="Z66" s="14" t="inlineStr">
        <is>
          <t>YES</t>
        </is>
      </c>
      <c r="AA66" s="15" t="n">
        <v>277</v>
      </c>
      <c r="AB66" s="14" t="inlineStr">
        <is>
          <t>Gear unit with IEC input flange, solid output shaft, foot mounted</t>
        </is>
      </c>
      <c r="AC66" s="16">
        <f>ROUND(AA66*(1-$L$2),2)</f>
        <v/>
      </c>
      <c r="AD66" s="17">
        <f>J66*AC66</f>
        <v/>
      </c>
      <c r="AE66" s="14" t="inlineStr">
        <is>
          <t>Complete gearmotor not priced here (IEC reducer requested); gearmotor prices are on price list pp.3-13 by kW/rpm</t>
        </is>
      </c>
      <c r="AF66" s="18" t="n"/>
    </row>
    <row r="67">
      <c r="A67" s="8" t="inlineStr">
        <is>
          <t>GB-063</t>
        </is>
      </c>
      <c r="B67" s="8" t="inlineStr">
        <is>
          <t>Helical Inline</t>
        </is>
      </c>
      <c r="C67" s="8" t="inlineStr">
        <is>
          <t>R / Equivalent</t>
        </is>
      </c>
      <c r="D67" s="8" t="inlineStr">
        <is>
          <t>Supplier selection</t>
        </is>
      </c>
      <c r="E67" s="8" t="n">
        <v>1.1</v>
      </c>
      <c r="F67" s="8" t="inlineStr">
        <is>
          <t>1:15</t>
        </is>
      </c>
      <c r="G67" s="8" t="inlineStr">
        <is>
          <t>B3 foot</t>
        </is>
      </c>
      <c r="H67" s="8" t="inlineStr">
        <is>
          <t>Solid output shaft</t>
        </is>
      </c>
      <c r="I67" s="8" t="inlineStr">
        <is>
          <t>IEC motor adaptor/input</t>
        </is>
      </c>
      <c r="J67" s="8" t="n">
        <v>1</v>
      </c>
      <c r="K67" s="9" t="inlineStr">
        <is>
          <t>İR (helical inline)</t>
        </is>
      </c>
      <c r="L67" s="10" t="inlineStr">
        <is>
          <t>İRAP 62  i=15.13  + IEC 90 B5 input (code 155)</t>
        </is>
      </c>
      <c r="M67" s="11" t="inlineStr">
        <is>
          <t>İRAM 62 / 90 S 4a</t>
        </is>
      </c>
      <c r="N67" s="12" t="n">
        <v>15.13</v>
      </c>
      <c r="O67" s="9" t="n">
        <v>92</v>
      </c>
      <c r="P67" s="9" t="n">
        <v>111</v>
      </c>
      <c r="Q67" s="11" t="inlineStr">
        <is>
          <t>Sf 3.75</t>
        </is>
      </c>
      <c r="R67" s="11" t="inlineStr">
        <is>
          <t>Gearmotor table, 4-pole motor, n1≈1400 rpm</t>
        </is>
      </c>
      <c r="S67" s="11" t="inlineStr">
        <is>
          <t>Solid output shaft (foot mounted)</t>
        </is>
      </c>
      <c r="T67" s="11" t="inlineStr">
        <is>
          <t>IEC 90 B5 (motor 90 S 4a)</t>
        </is>
      </c>
      <c r="U67" s="11" t="inlineStr">
        <is>
          <t>IEC B5 input flange 155 (or 156 PAM with coupling); İRAFM foot+flange version available</t>
        </is>
      </c>
      <c r="V67" s="11" t="inlineStr">
        <is>
          <t>IR 2024: ratings p.66; dims p.231-234</t>
        </is>
      </c>
      <c r="W67" s="11" t="inlineStr">
        <is>
          <t>Smallest housing with Sf ≥ 1.5 at 1.1 kW / 1400 rpm. Ratio deviation +0.9% vs 1:15. Quote both reducer-only and gearmotor lines (RFQ).</t>
        </is>
      </c>
      <c r="X67" s="13" t="inlineStr">
        <is>
          <t>IRAP 62 – IEC 90 B5 / B14</t>
        </is>
      </c>
      <c r="Y67" s="14" t="inlineStr">
        <is>
          <t>p.15 (IRP series, IEC B5/B14 flanged)</t>
        </is>
      </c>
      <c r="Z67" s="14" t="inlineStr">
        <is>
          <t>YES</t>
        </is>
      </c>
      <c r="AA67" s="15" t="n">
        <v>409</v>
      </c>
      <c r="AB67" s="14" t="inlineStr">
        <is>
          <t>Gear unit with IEC input flange, solid output shaft, foot mounted</t>
        </is>
      </c>
      <c r="AC67" s="16">
        <f>ROUND(AA67*(1-$L$2),2)</f>
        <v/>
      </c>
      <c r="AD67" s="17">
        <f>J67*AC67</f>
        <v/>
      </c>
      <c r="AE67" s="14" t="inlineStr">
        <is>
          <t>Complete gearmotor not priced here (IEC reducer requested); gearmotor prices are on price list pp.3-13 by kW/rpm</t>
        </is>
      </c>
      <c r="AF67" s="18" t="n"/>
    </row>
    <row r="68">
      <c r="A68" s="8" t="inlineStr">
        <is>
          <t>GB-064</t>
        </is>
      </c>
      <c r="B68" s="8" t="inlineStr">
        <is>
          <t>Helical Inline</t>
        </is>
      </c>
      <c r="C68" s="8" t="inlineStr">
        <is>
          <t>R / Equivalent</t>
        </is>
      </c>
      <c r="D68" s="8" t="inlineStr">
        <is>
          <t>Supplier selection</t>
        </is>
      </c>
      <c r="E68" s="8" t="n">
        <v>1.1</v>
      </c>
      <c r="F68" s="8" t="inlineStr">
        <is>
          <t>1:20</t>
        </is>
      </c>
      <c r="G68" s="8" t="inlineStr">
        <is>
          <t>B3 foot</t>
        </is>
      </c>
      <c r="H68" s="8" t="inlineStr">
        <is>
          <t>Solid output shaft</t>
        </is>
      </c>
      <c r="I68" s="8" t="inlineStr">
        <is>
          <t>IEC motor adaptor/input</t>
        </is>
      </c>
      <c r="J68" s="8" t="n">
        <v>1</v>
      </c>
      <c r="K68" s="9" t="inlineStr">
        <is>
          <t>İR (helical inline)</t>
        </is>
      </c>
      <c r="L68" s="10" t="inlineStr">
        <is>
          <t>İRAP 63  i=20.53  + IEC 90 B5 input (code 155)</t>
        </is>
      </c>
      <c r="M68" s="11" t="inlineStr">
        <is>
          <t>İRAM 63 / 90 S 4a</t>
        </is>
      </c>
      <c r="N68" s="12" t="n">
        <v>20.53</v>
      </c>
      <c r="O68" s="9" t="n">
        <v>68</v>
      </c>
      <c r="P68" s="9" t="n">
        <v>148</v>
      </c>
      <c r="Q68" s="11" t="inlineStr">
        <is>
          <t>Sf 3.2</t>
        </is>
      </c>
      <c r="R68" s="11" t="inlineStr">
        <is>
          <t>Gearmotor table, 4-pole motor, n1≈1400 rpm</t>
        </is>
      </c>
      <c r="S68" s="11" t="inlineStr">
        <is>
          <t>Solid output shaft (foot mounted)</t>
        </is>
      </c>
      <c r="T68" s="11" t="inlineStr">
        <is>
          <t>IEC 90 B5 (motor 90 S 4a)</t>
        </is>
      </c>
      <c r="U68" s="11" t="inlineStr">
        <is>
          <t>IEC B5 input flange 155 (or 156 PAM with coupling); İRAFM foot+flange version available</t>
        </is>
      </c>
      <c r="V68" s="11" t="inlineStr">
        <is>
          <t>IR 2024: ratings p.66; dims p.231-234</t>
        </is>
      </c>
      <c r="W68" s="11" t="inlineStr">
        <is>
          <t>Smallest housing with Sf ≥ 1.5 at 1.1 kW / 1400 rpm. Ratio deviation +2.7% vs 1:20. Quote both reducer-only and gearmotor lines (RFQ).</t>
        </is>
      </c>
      <c r="X68" s="13" t="inlineStr">
        <is>
          <t>IRAP 63 – IEC 90 B5 / B14</t>
        </is>
      </c>
      <c r="Y68" s="14" t="inlineStr">
        <is>
          <t>p.15 (IRP series, IEC B5/B14 flanged)</t>
        </is>
      </c>
      <c r="Z68" s="14" t="inlineStr">
        <is>
          <t>YES</t>
        </is>
      </c>
      <c r="AA68" s="15" t="n">
        <v>422</v>
      </c>
      <c r="AB68" s="14" t="inlineStr">
        <is>
          <t>Gear unit with IEC input flange, solid output shaft, foot mounted</t>
        </is>
      </c>
      <c r="AC68" s="16">
        <f>ROUND(AA68*(1-$L$2),2)</f>
        <v/>
      </c>
      <c r="AD68" s="17">
        <f>J68*AC68</f>
        <v/>
      </c>
      <c r="AE68" s="14" t="inlineStr">
        <is>
          <t>Complete gearmotor not priced here (IEC reducer requested); gearmotor prices are on price list pp.3-13 by kW/rpm</t>
        </is>
      </c>
      <c r="AF68" s="18" t="n"/>
    </row>
    <row r="69">
      <c r="A69" s="8" t="inlineStr">
        <is>
          <t>GB-065</t>
        </is>
      </c>
      <c r="B69" s="8" t="inlineStr">
        <is>
          <t>Helical Inline</t>
        </is>
      </c>
      <c r="C69" s="8" t="inlineStr">
        <is>
          <t>R / Equivalent</t>
        </is>
      </c>
      <c r="D69" s="8" t="inlineStr">
        <is>
          <t>Supplier selection</t>
        </is>
      </c>
      <c r="E69" s="8" t="n">
        <v>1.1</v>
      </c>
      <c r="F69" s="8" t="inlineStr">
        <is>
          <t>1:30</t>
        </is>
      </c>
      <c r="G69" s="8" t="inlineStr">
        <is>
          <t>B3 foot</t>
        </is>
      </c>
      <c r="H69" s="8" t="inlineStr">
        <is>
          <t>Solid output shaft</t>
        </is>
      </c>
      <c r="I69" s="8" t="inlineStr">
        <is>
          <t>IEC motor adaptor/input</t>
        </is>
      </c>
      <c r="J69" s="8" t="n">
        <v>1</v>
      </c>
      <c r="K69" s="9" t="inlineStr">
        <is>
          <t>İR (helical inline)</t>
        </is>
      </c>
      <c r="L69" s="10" t="inlineStr">
        <is>
          <t>İRAP 63  i=29.85  + IEC 90 B5 input (code 155)</t>
        </is>
      </c>
      <c r="M69" s="11" t="inlineStr">
        <is>
          <t>İRAM 63 / 90 S 4a</t>
        </is>
      </c>
      <c r="N69" s="12" t="n">
        <v>29.85</v>
      </c>
      <c r="O69" s="9" t="n">
        <v>46</v>
      </c>
      <c r="P69" s="9" t="n">
        <v>218</v>
      </c>
      <c r="Q69" s="11" t="inlineStr">
        <is>
          <t>Sf 2.19</t>
        </is>
      </c>
      <c r="R69" s="11" t="inlineStr">
        <is>
          <t>Gearmotor table, 4-pole motor, n1≈1400 rpm</t>
        </is>
      </c>
      <c r="S69" s="11" t="inlineStr">
        <is>
          <t>Solid output shaft (foot mounted)</t>
        </is>
      </c>
      <c r="T69" s="11" t="inlineStr">
        <is>
          <t>IEC 90 B5 (motor 90 S 4a)</t>
        </is>
      </c>
      <c r="U69" s="11" t="inlineStr">
        <is>
          <t>IEC B5 input flange 155 (or 156 PAM with coupling); İRAFM foot+flange version available</t>
        </is>
      </c>
      <c r="V69" s="11" t="inlineStr">
        <is>
          <t>IR 2024: ratings p.66; dims p.231-234</t>
        </is>
      </c>
      <c r="W69" s="11" t="inlineStr">
        <is>
          <t>Smallest housing with Sf ≥ 1.5 at 1.1 kW / 1400 rpm. Ratio deviation -0.5% vs 1:30. Larger alternatives: 73 (i=31.16, Sf=3.5); 731 (i=31.3, Sf=2.6). Quote both reducer-only and gearmotor lines (RFQ).</t>
        </is>
      </c>
      <c r="X69" s="13" t="inlineStr">
        <is>
          <t>IRAP 63 – IEC 90 B5 / B14</t>
        </is>
      </c>
      <c r="Y69" s="14" t="inlineStr">
        <is>
          <t>p.15 (IRP series, IEC B5/B14 flanged)</t>
        </is>
      </c>
      <c r="Z69" s="14" t="inlineStr">
        <is>
          <t>YES</t>
        </is>
      </c>
      <c r="AA69" s="15" t="n">
        <v>422</v>
      </c>
      <c r="AB69" s="14" t="inlineStr">
        <is>
          <t>Gear unit with IEC input flange, solid output shaft, foot mounted</t>
        </is>
      </c>
      <c r="AC69" s="16">
        <f>ROUND(AA69*(1-$L$2),2)</f>
        <v/>
      </c>
      <c r="AD69" s="17">
        <f>J69*AC69</f>
        <v/>
      </c>
      <c r="AE69" s="14" t="inlineStr">
        <is>
          <t>Complete gearmotor not priced here (IEC reducer requested); gearmotor prices are on price list pp.3-13 by kW/rpm</t>
        </is>
      </c>
      <c r="AF69" s="18" t="n"/>
    </row>
    <row r="70">
      <c r="A70" s="8" t="inlineStr">
        <is>
          <t>GB-066</t>
        </is>
      </c>
      <c r="B70" s="8" t="inlineStr">
        <is>
          <t>Helical Inline</t>
        </is>
      </c>
      <c r="C70" s="8" t="inlineStr">
        <is>
          <t>R / Equivalent</t>
        </is>
      </c>
      <c r="D70" s="8" t="inlineStr">
        <is>
          <t>Supplier selection</t>
        </is>
      </c>
      <c r="E70" s="8" t="n">
        <v>1.1</v>
      </c>
      <c r="F70" s="8" t="inlineStr">
        <is>
          <t>1:40</t>
        </is>
      </c>
      <c r="G70" s="8" t="inlineStr">
        <is>
          <t>B3 foot</t>
        </is>
      </c>
      <c r="H70" s="8" t="inlineStr">
        <is>
          <t>Solid output shaft</t>
        </is>
      </c>
      <c r="I70" s="8" t="inlineStr">
        <is>
          <t>IEC motor adaptor/input</t>
        </is>
      </c>
      <c r="J70" s="8" t="n">
        <v>1</v>
      </c>
      <c r="K70" s="9" t="inlineStr">
        <is>
          <t>İR (helical inline)</t>
        </is>
      </c>
      <c r="L70" s="10" t="inlineStr">
        <is>
          <t>İRAP 73  i=41.66  + IEC 90 B5 input (code 155)</t>
        </is>
      </c>
      <c r="M70" s="11" t="inlineStr">
        <is>
          <t>İRAM 73 / 90 S 4a</t>
        </is>
      </c>
      <c r="N70" s="12" t="n">
        <v>41.66</v>
      </c>
      <c r="O70" s="9" t="n">
        <v>33</v>
      </c>
      <c r="P70" s="9" t="n">
        <v>304</v>
      </c>
      <c r="Q70" s="11" t="inlineStr">
        <is>
          <t>Sf 2.79</t>
        </is>
      </c>
      <c r="R70" s="11" t="inlineStr">
        <is>
          <t>Gearmotor table, 4-pole motor, n1≈1400 rpm</t>
        </is>
      </c>
      <c r="S70" s="11" t="inlineStr">
        <is>
          <t>Solid output shaft (foot mounted)</t>
        </is>
      </c>
      <c r="T70" s="11" t="inlineStr">
        <is>
          <t>IEC 90 B5 (motor 90 S 4a)</t>
        </is>
      </c>
      <c r="U70" s="11" t="inlineStr">
        <is>
          <t>IEC B5 input flange 155 (or 156 PAM with coupling); İRAFM foot+flange version available</t>
        </is>
      </c>
      <c r="V70" s="11" t="inlineStr">
        <is>
          <t>IR 2024: ratings p.65; dims p.271-274</t>
        </is>
      </c>
      <c r="W70" s="11" t="inlineStr">
        <is>
          <t>Smallest housing with Sf ≥ 1.5 at 1.1 kW / 1400 rpm. Ratio deviation +4.1% vs 1:40. Larger alternatives: 731 (i=39.88, Sf=2.2). Quote both reducer-only and gearmotor lines (RFQ).</t>
        </is>
      </c>
      <c r="X70" s="13" t="inlineStr">
        <is>
          <t>IRAP 73 – IEC 90 B5 / B14</t>
        </is>
      </c>
      <c r="Y70" s="14" t="inlineStr">
        <is>
          <t>p.16 (IRP series, IEC B5/B14 flanged)</t>
        </is>
      </c>
      <c r="Z70" s="14" t="inlineStr">
        <is>
          <t>YES</t>
        </is>
      </c>
      <c r="AA70" s="15" t="n">
        <v>639</v>
      </c>
      <c r="AB70" s="14" t="inlineStr">
        <is>
          <t>Gear unit with IEC input flange, solid output shaft, foot mounted</t>
        </is>
      </c>
      <c r="AC70" s="16">
        <f>ROUND(AA70*(1-$L$2),2)</f>
        <v/>
      </c>
      <c r="AD70" s="17">
        <f>J70*AC70</f>
        <v/>
      </c>
      <c r="AE70" s="14" t="inlineStr">
        <is>
          <t>Complete gearmotor not priced here (IEC reducer requested); gearmotor prices are on price list pp.3-13 by kW/rpm</t>
        </is>
      </c>
      <c r="AF70" s="18" t="n"/>
    </row>
    <row r="71">
      <c r="A71" s="8" t="inlineStr">
        <is>
          <t>GB-067</t>
        </is>
      </c>
      <c r="B71" s="8" t="inlineStr">
        <is>
          <t>Helical Inline</t>
        </is>
      </c>
      <c r="C71" s="8" t="inlineStr">
        <is>
          <t>R / Equivalent</t>
        </is>
      </c>
      <c r="D71" s="8" t="inlineStr">
        <is>
          <t>Supplier selection</t>
        </is>
      </c>
      <c r="E71" s="8" t="n">
        <v>1.5</v>
      </c>
      <c r="F71" s="8" t="inlineStr">
        <is>
          <t>1:10</t>
        </is>
      </c>
      <c r="G71" s="8" t="inlineStr">
        <is>
          <t>B3 foot</t>
        </is>
      </c>
      <c r="H71" s="8" t="inlineStr">
        <is>
          <t>Solid output shaft</t>
        </is>
      </c>
      <c r="I71" s="8" t="inlineStr">
        <is>
          <t>IEC motor adaptor/input</t>
        </is>
      </c>
      <c r="J71" s="8" t="n">
        <v>2</v>
      </c>
      <c r="K71" s="9" t="inlineStr">
        <is>
          <t>İR (helical inline)</t>
        </is>
      </c>
      <c r="L71" s="10" t="inlineStr">
        <is>
          <t>İRAP 62  i=10.07  + IEC 90 B5 input (code 155)</t>
        </is>
      </c>
      <c r="M71" s="11" t="inlineStr">
        <is>
          <t>İRAM 62 / 90 L 4a</t>
        </is>
      </c>
      <c r="N71" s="12" t="n">
        <v>10.07</v>
      </c>
      <c r="O71" s="9" t="n">
        <v>138</v>
      </c>
      <c r="P71" s="9" t="n">
        <v>101</v>
      </c>
      <c r="Q71" s="11" t="inlineStr">
        <is>
          <t>Sf 3.81</t>
        </is>
      </c>
      <c r="R71" s="11" t="inlineStr">
        <is>
          <t>Gearmotor table, 4-pole motor, n1≈1400 rpm</t>
        </is>
      </c>
      <c r="S71" s="11" t="inlineStr">
        <is>
          <t>Solid output shaft (foot mounted)</t>
        </is>
      </c>
      <c r="T71" s="11" t="inlineStr">
        <is>
          <t>IEC 90 B5 (motor 90 L 4a)</t>
        </is>
      </c>
      <c r="U71" s="11" t="inlineStr">
        <is>
          <t>IEC B5 input flange 155 (or 156 PAM with coupling); İRAFM foot+flange version available</t>
        </is>
      </c>
      <c r="V71" s="11" t="inlineStr">
        <is>
          <t>IR 2024: ratings p.70; dims p.231-234</t>
        </is>
      </c>
      <c r="W71" s="11" t="inlineStr">
        <is>
          <t>Smallest housing with Sf ≥ 1.5 at 1.5 kW / 1400 rpm. Ratio deviation +0.7% vs 1:10. Quote both reducer-only and gearmotor lines (RFQ).</t>
        </is>
      </c>
      <c r="X71" s="13" t="inlineStr">
        <is>
          <t>IRAP 62 – IEC 90 B5 / B14</t>
        </is>
      </c>
      <c r="Y71" s="14" t="inlineStr">
        <is>
          <t>p.15 (IRP series, IEC B5/B14 flanged)</t>
        </is>
      </c>
      <c r="Z71" s="14" t="inlineStr">
        <is>
          <t>YES</t>
        </is>
      </c>
      <c r="AA71" s="15" t="n">
        <v>409</v>
      </c>
      <c r="AB71" s="14" t="inlineStr">
        <is>
          <t>Gear unit with IEC input flange, solid output shaft, foot mounted</t>
        </is>
      </c>
      <c r="AC71" s="16">
        <f>ROUND(AA71*(1-$L$2),2)</f>
        <v/>
      </c>
      <c r="AD71" s="17">
        <f>J71*AC71</f>
        <v/>
      </c>
      <c r="AE71" s="14" t="inlineStr">
        <is>
          <t>Complete gearmotor not priced here (IEC reducer requested); gearmotor prices are on price list pp.3-13 by kW/rpm</t>
        </is>
      </c>
      <c r="AF71" s="18" t="n"/>
    </row>
    <row r="72">
      <c r="A72" s="8" t="inlineStr">
        <is>
          <t>GB-068</t>
        </is>
      </c>
      <c r="B72" s="8" t="inlineStr">
        <is>
          <t>Helical Inline</t>
        </is>
      </c>
      <c r="C72" s="8" t="inlineStr">
        <is>
          <t>R / Equivalent</t>
        </is>
      </c>
      <c r="D72" s="8" t="inlineStr">
        <is>
          <t>Supplier selection</t>
        </is>
      </c>
      <c r="E72" s="8" t="n">
        <v>1.5</v>
      </c>
      <c r="F72" s="8" t="inlineStr">
        <is>
          <t>1:20</t>
        </is>
      </c>
      <c r="G72" s="8" t="inlineStr">
        <is>
          <t>B3 foot</t>
        </is>
      </c>
      <c r="H72" s="8" t="inlineStr">
        <is>
          <t>Solid output shaft</t>
        </is>
      </c>
      <c r="I72" s="8" t="inlineStr">
        <is>
          <t>IEC motor adaptor/input</t>
        </is>
      </c>
      <c r="J72" s="8" t="n">
        <v>2</v>
      </c>
      <c r="K72" s="9" t="inlineStr">
        <is>
          <t>İR (helical inline)</t>
        </is>
      </c>
      <c r="L72" s="10" t="inlineStr">
        <is>
          <t>İRAP 63  i=20.53  + IEC 90 B5 input (code 155)</t>
        </is>
      </c>
      <c r="M72" s="11" t="inlineStr">
        <is>
          <t>İRAM 63 / 90 L 4a</t>
        </is>
      </c>
      <c r="N72" s="12" t="n">
        <v>20.53</v>
      </c>
      <c r="O72" s="9" t="n">
        <v>68</v>
      </c>
      <c r="P72" s="9" t="n">
        <v>201</v>
      </c>
      <c r="Q72" s="11" t="inlineStr">
        <is>
          <t>Sf 2.34</t>
        </is>
      </c>
      <c r="R72" s="11" t="inlineStr">
        <is>
          <t>Gearmotor table, 4-pole motor, n1≈1400 rpm</t>
        </is>
      </c>
      <c r="S72" s="11" t="inlineStr">
        <is>
          <t>Solid output shaft (foot mounted)</t>
        </is>
      </c>
      <c r="T72" s="11" t="inlineStr">
        <is>
          <t>IEC 90 B5 (motor 90 L 4a)</t>
        </is>
      </c>
      <c r="U72" s="11" t="inlineStr">
        <is>
          <t>IEC B5 input flange 155 (or 156 PAM with coupling); İRAFM foot+flange version available</t>
        </is>
      </c>
      <c r="V72" s="11" t="inlineStr">
        <is>
          <t>IR 2024: ratings p.70; dims p.231-234</t>
        </is>
      </c>
      <c r="W72" s="11" t="inlineStr">
        <is>
          <t>Smallest housing with Sf ≥ 1.5 at 1.5 kW / 1400 rpm. Ratio deviation +2.7% vs 1:20. Quote both reducer-only and gearmotor lines (RFQ).</t>
        </is>
      </c>
      <c r="X72" s="13" t="inlineStr">
        <is>
          <t>IRAP 63 – IEC 90 B5 / B14</t>
        </is>
      </c>
      <c r="Y72" s="14" t="inlineStr">
        <is>
          <t>p.15 (IRP series, IEC B5/B14 flanged)</t>
        </is>
      </c>
      <c r="Z72" s="14" t="inlineStr">
        <is>
          <t>YES</t>
        </is>
      </c>
      <c r="AA72" s="15" t="n">
        <v>422</v>
      </c>
      <c r="AB72" s="14" t="inlineStr">
        <is>
          <t>Gear unit with IEC input flange, solid output shaft, foot mounted</t>
        </is>
      </c>
      <c r="AC72" s="16">
        <f>ROUND(AA72*(1-$L$2),2)</f>
        <v/>
      </c>
      <c r="AD72" s="17">
        <f>J72*AC72</f>
        <v/>
      </c>
      <c r="AE72" s="14" t="inlineStr">
        <is>
          <t>Complete gearmotor not priced here (IEC reducer requested); gearmotor prices are on price list pp.3-13 by kW/rpm</t>
        </is>
      </c>
      <c r="AF72" s="18" t="n"/>
    </row>
    <row r="73">
      <c r="A73" s="8" t="inlineStr">
        <is>
          <t>GB-069</t>
        </is>
      </c>
      <c r="B73" s="8" t="inlineStr">
        <is>
          <t>Helical Inline</t>
        </is>
      </c>
      <c r="C73" s="8" t="inlineStr">
        <is>
          <t>R / Equivalent</t>
        </is>
      </c>
      <c r="D73" s="8" t="inlineStr">
        <is>
          <t>Supplier selection</t>
        </is>
      </c>
      <c r="E73" s="8" t="n">
        <v>1.5</v>
      </c>
      <c r="F73" s="8" t="inlineStr">
        <is>
          <t>1:30</t>
        </is>
      </c>
      <c r="G73" s="8" t="inlineStr">
        <is>
          <t>B3 foot</t>
        </is>
      </c>
      <c r="H73" s="8" t="inlineStr">
        <is>
          <t>Solid output shaft</t>
        </is>
      </c>
      <c r="I73" s="8" t="inlineStr">
        <is>
          <t>IEC motor adaptor/input</t>
        </is>
      </c>
      <c r="J73" s="8" t="n">
        <v>1</v>
      </c>
      <c r="K73" s="9" t="inlineStr">
        <is>
          <t>İR (helical inline)</t>
        </is>
      </c>
      <c r="L73" s="10" t="inlineStr">
        <is>
          <t>İRAP 63  i=29.85  + IEC 90 B5 input (code 155)</t>
        </is>
      </c>
      <c r="M73" s="11" t="inlineStr">
        <is>
          <t>İRAM 63 / 90 L 4a</t>
        </is>
      </c>
      <c r="N73" s="12" t="n">
        <v>29.85</v>
      </c>
      <c r="O73" s="9" t="n">
        <v>46</v>
      </c>
      <c r="P73" s="9" t="n">
        <v>298</v>
      </c>
      <c r="Q73" s="11" t="inlineStr">
        <is>
          <t>Sf 1.61</t>
        </is>
      </c>
      <c r="R73" s="11" t="inlineStr">
        <is>
          <t>Gearmotor table, 4-pole motor, n1≈1400 rpm</t>
        </is>
      </c>
      <c r="S73" s="11" t="inlineStr">
        <is>
          <t>Solid output shaft (foot mounted)</t>
        </is>
      </c>
      <c r="T73" s="11" t="inlineStr">
        <is>
          <t>IEC 90 B5 (motor 90 L 4a)</t>
        </is>
      </c>
      <c r="U73" s="11" t="inlineStr">
        <is>
          <t>IEC B5 input flange 155 (or 156 PAM with coupling); İRAFM foot+flange version available</t>
        </is>
      </c>
      <c r="V73" s="11" t="inlineStr">
        <is>
          <t>IR 2024: ratings p.70; dims p.231-234</t>
        </is>
      </c>
      <c r="W73" s="11" t="inlineStr">
        <is>
          <t>Smallest housing with Sf ≥ 1.5 at 1.5 kW / 1400 rpm. Ratio deviation -0.5% vs 1:30. Larger alternatives: 73 (i=31.16, Sf=2.56); 731 (i=31.3, Sf=1.9). Quote both reducer-only and gearmotor lines (RFQ).</t>
        </is>
      </c>
      <c r="X73" s="13" t="inlineStr">
        <is>
          <t>IRAP 63 – IEC 90 B5 / B14</t>
        </is>
      </c>
      <c r="Y73" s="14" t="inlineStr">
        <is>
          <t>p.15 (IRP series, IEC B5/B14 flanged)</t>
        </is>
      </c>
      <c r="Z73" s="14" t="inlineStr">
        <is>
          <t>YES</t>
        </is>
      </c>
      <c r="AA73" s="15" t="n">
        <v>422</v>
      </c>
      <c r="AB73" s="14" t="inlineStr">
        <is>
          <t>Gear unit with IEC input flange, solid output shaft, foot mounted</t>
        </is>
      </c>
      <c r="AC73" s="16">
        <f>ROUND(AA73*(1-$L$2),2)</f>
        <v/>
      </c>
      <c r="AD73" s="17">
        <f>J73*AC73</f>
        <v/>
      </c>
      <c r="AE73" s="14" t="inlineStr">
        <is>
          <t>Complete gearmotor not priced here (IEC reducer requested); gearmotor prices are on price list pp.3-13 by kW/rpm</t>
        </is>
      </c>
      <c r="AF73" s="18" t="n"/>
    </row>
    <row r="74">
      <c r="A74" s="8" t="inlineStr">
        <is>
          <t>GB-070</t>
        </is>
      </c>
      <c r="B74" s="8" t="inlineStr">
        <is>
          <t>Helical Inline</t>
        </is>
      </c>
      <c r="C74" s="8" t="inlineStr">
        <is>
          <t>R / Equivalent</t>
        </is>
      </c>
      <c r="D74" s="8" t="inlineStr">
        <is>
          <t>Supplier selection</t>
        </is>
      </c>
      <c r="E74" s="8" t="n">
        <v>1.5</v>
      </c>
      <c r="F74" s="8" t="inlineStr">
        <is>
          <t>1:40</t>
        </is>
      </c>
      <c r="G74" s="8" t="inlineStr">
        <is>
          <t>B3 foot</t>
        </is>
      </c>
      <c r="H74" s="8" t="inlineStr">
        <is>
          <t>Solid output shaft</t>
        </is>
      </c>
      <c r="I74" s="8" t="inlineStr">
        <is>
          <t>IEC motor adaptor/input</t>
        </is>
      </c>
      <c r="J74" s="8" t="n">
        <v>1</v>
      </c>
      <c r="K74" s="9" t="inlineStr">
        <is>
          <t>İR (helical inline)</t>
        </is>
      </c>
      <c r="L74" s="10" t="inlineStr">
        <is>
          <t>İRAP 73  i=41.66  + IEC 90 B5 input (code 155)</t>
        </is>
      </c>
      <c r="M74" s="11" t="inlineStr">
        <is>
          <t>İRAM 73 / 90 L 4a</t>
        </is>
      </c>
      <c r="N74" s="12" t="n">
        <v>41.66</v>
      </c>
      <c r="O74" s="9" t="n">
        <v>33</v>
      </c>
      <c r="P74" s="9" t="n">
        <v>415</v>
      </c>
      <c r="Q74" s="11" t="inlineStr">
        <is>
          <t>Sf 2.05</t>
        </is>
      </c>
      <c r="R74" s="11" t="inlineStr">
        <is>
          <t>Gearmotor table, 4-pole motor, n1≈1400 rpm</t>
        </is>
      </c>
      <c r="S74" s="11" t="inlineStr">
        <is>
          <t>Solid output shaft (foot mounted)</t>
        </is>
      </c>
      <c r="T74" s="11" t="inlineStr">
        <is>
          <t>IEC 90 B5 (motor 90 L 4a)</t>
        </is>
      </c>
      <c r="U74" s="11" t="inlineStr">
        <is>
          <t>IEC B5 input flange 155 (or 156 PAM with coupling); İRAFM foot+flange version available</t>
        </is>
      </c>
      <c r="V74" s="11" t="inlineStr">
        <is>
          <t>IR 2024: ratings p.69; dims p.271-274</t>
        </is>
      </c>
      <c r="W74" s="11" t="inlineStr">
        <is>
          <t>Smallest housing with Sf ≥ 1.5 at 1.5 kW / 1400 rpm. Ratio deviation +4.1% vs 1:40. Larger alternatives: 731 (i=39.88, Sf=1.61); 83 (i=41.22, Sf=3.6). Quote both reducer-only and gearmotor lines (RFQ).</t>
        </is>
      </c>
      <c r="X74" s="13" t="inlineStr">
        <is>
          <t>IRAP 73 – IEC 90 B5 / B14</t>
        </is>
      </c>
      <c r="Y74" s="14" t="inlineStr">
        <is>
          <t>p.16 (IRP series, IEC B5/B14 flanged)</t>
        </is>
      </c>
      <c r="Z74" s="14" t="inlineStr">
        <is>
          <t>YES</t>
        </is>
      </c>
      <c r="AA74" s="15" t="n">
        <v>639</v>
      </c>
      <c r="AB74" s="14" t="inlineStr">
        <is>
          <t>Gear unit with IEC input flange, solid output shaft, foot mounted</t>
        </is>
      </c>
      <c r="AC74" s="16">
        <f>ROUND(AA74*(1-$L$2),2)</f>
        <v/>
      </c>
      <c r="AD74" s="17">
        <f>J74*AC74</f>
        <v/>
      </c>
      <c r="AE74" s="14" t="inlineStr">
        <is>
          <t>Complete gearmotor not priced here (IEC reducer requested); gearmotor prices are on price list pp.3-13 by kW/rpm</t>
        </is>
      </c>
      <c r="AF74" s="18" t="n"/>
    </row>
    <row r="75">
      <c r="A75" s="8" t="inlineStr">
        <is>
          <t>GB-071</t>
        </is>
      </c>
      <c r="B75" s="8" t="inlineStr">
        <is>
          <t>Helical Inline</t>
        </is>
      </c>
      <c r="C75" s="8" t="inlineStr">
        <is>
          <t>R / Equivalent</t>
        </is>
      </c>
      <c r="D75" s="8" t="inlineStr">
        <is>
          <t>Supplier selection</t>
        </is>
      </c>
      <c r="E75" s="8" t="n">
        <v>2.2</v>
      </c>
      <c r="F75" s="8" t="inlineStr">
        <is>
          <t>1:10</t>
        </is>
      </c>
      <c r="G75" s="8" t="inlineStr">
        <is>
          <t>B3 foot</t>
        </is>
      </c>
      <c r="H75" s="8" t="inlineStr">
        <is>
          <t>Solid output shaft</t>
        </is>
      </c>
      <c r="I75" s="8" t="inlineStr">
        <is>
          <t>IEC motor adaptor/input</t>
        </is>
      </c>
      <c r="J75" s="8" t="n">
        <v>1</v>
      </c>
      <c r="K75" s="9" t="inlineStr">
        <is>
          <t>İR (helical inline)</t>
        </is>
      </c>
      <c r="L75" s="10" t="inlineStr">
        <is>
          <t>İRAP 62  i=10.07  + IEC 100 B5 input (code 155)</t>
        </is>
      </c>
      <c r="M75" s="11" t="inlineStr">
        <is>
          <t>İRAM 62 / 100 L 4a</t>
        </is>
      </c>
      <c r="N75" s="12" t="n">
        <v>10.07</v>
      </c>
      <c r="O75" s="9" t="n">
        <v>138</v>
      </c>
      <c r="P75" s="9" t="n">
        <v>148</v>
      </c>
      <c r="Q75" s="11" t="inlineStr">
        <is>
          <t>Sf 2.6</t>
        </is>
      </c>
      <c r="R75" s="11" t="inlineStr">
        <is>
          <t>Gearmotor table, 4-pole motor, n1≈1400 rpm</t>
        </is>
      </c>
      <c r="S75" s="11" t="inlineStr">
        <is>
          <t>Solid output shaft (foot mounted)</t>
        </is>
      </c>
      <c r="T75" s="11" t="inlineStr">
        <is>
          <t>IEC 100 B5 (motor 100 L 4a)</t>
        </is>
      </c>
      <c r="U75" s="11" t="inlineStr">
        <is>
          <t>IEC B5 input flange 155 (or 156 PAM with coupling); İRAFM foot+flange version available</t>
        </is>
      </c>
      <c r="V75" s="11" t="inlineStr">
        <is>
          <t>IR 2024: ratings p.75; dims p.231-234</t>
        </is>
      </c>
      <c r="W75" s="11" t="inlineStr">
        <is>
          <t>Smallest housing with Sf ≥ 1.5 at 2.2 kW / 1400 rpm. Ratio deviation +0.7% vs 1:10. Larger alternatives: 721 (i=9.866, Sf=3.27). Quote both reducer-only and gearmotor lines (RFQ).</t>
        </is>
      </c>
      <c r="X75" s="13" t="inlineStr">
        <is>
          <t>IRAP 62 – IEC 100 B5 / B14</t>
        </is>
      </c>
      <c r="Y75" s="14" t="inlineStr">
        <is>
          <t>p.15 (IRP series, IEC B5/B14 flanged)</t>
        </is>
      </c>
      <c r="Z75" s="14" t="inlineStr">
        <is>
          <t>YES</t>
        </is>
      </c>
      <c r="AA75" s="15" t="n">
        <v>416</v>
      </c>
      <c r="AB75" s="14" t="inlineStr">
        <is>
          <t>Gear unit with IEC input flange, solid output shaft, foot mounted</t>
        </is>
      </c>
      <c r="AC75" s="16">
        <f>ROUND(AA75*(1-$L$2),2)</f>
        <v/>
      </c>
      <c r="AD75" s="17">
        <f>J75*AC75</f>
        <v/>
      </c>
      <c r="AE75" s="14" t="inlineStr">
        <is>
          <t>Complete gearmotor not priced here (IEC reducer requested); gearmotor prices are on price list pp.3-13 by kW/rpm</t>
        </is>
      </c>
      <c r="AF75" s="18" t="n"/>
    </row>
    <row r="76">
      <c r="A76" s="8" t="inlineStr">
        <is>
          <t>GB-072</t>
        </is>
      </c>
      <c r="B76" s="8" t="inlineStr">
        <is>
          <t>Helical Inline</t>
        </is>
      </c>
      <c r="C76" s="8" t="inlineStr">
        <is>
          <t>R / Equivalent</t>
        </is>
      </c>
      <c r="D76" s="8" t="inlineStr">
        <is>
          <t>Supplier selection</t>
        </is>
      </c>
      <c r="E76" s="8" t="n">
        <v>2.2</v>
      </c>
      <c r="F76" s="8" t="inlineStr">
        <is>
          <t>1:15</t>
        </is>
      </c>
      <c r="G76" s="8" t="inlineStr">
        <is>
          <t>B3 foot</t>
        </is>
      </c>
      <c r="H76" s="8" t="inlineStr">
        <is>
          <t>Solid output shaft</t>
        </is>
      </c>
      <c r="I76" s="8" t="inlineStr">
        <is>
          <t>IEC motor adaptor/input</t>
        </is>
      </c>
      <c r="J76" s="8" t="n">
        <v>1</v>
      </c>
      <c r="K76" s="9" t="inlineStr">
        <is>
          <t>İR (helical inline)</t>
        </is>
      </c>
      <c r="L76" s="10" t="inlineStr">
        <is>
          <t>İRAP 63  i=15.59  + IEC 100 B5 input (code 155)</t>
        </is>
      </c>
      <c r="M76" s="11" t="inlineStr">
        <is>
          <t>İRAM 63 / 100 L 4a</t>
        </is>
      </c>
      <c r="N76" s="12" t="n">
        <v>15.59</v>
      </c>
      <c r="O76" s="9" t="n">
        <v>89</v>
      </c>
      <c r="P76" s="9" t="n">
        <v>226</v>
      </c>
      <c r="Q76" s="11" t="inlineStr">
        <is>
          <t>Sf 2.04</t>
        </is>
      </c>
      <c r="R76" s="11" t="inlineStr">
        <is>
          <t>Gearmotor table, 4-pole motor, n1≈1400 rpm</t>
        </is>
      </c>
      <c r="S76" s="11" t="inlineStr">
        <is>
          <t>Solid output shaft (foot mounted)</t>
        </is>
      </c>
      <c r="T76" s="11" t="inlineStr">
        <is>
          <t>IEC 100 B5 (motor 100 L 4a)</t>
        </is>
      </c>
      <c r="U76" s="11" t="inlineStr">
        <is>
          <t>IEC B5 input flange 155 (or 156 PAM with coupling); İRAFM foot+flange version available</t>
        </is>
      </c>
      <c r="V76" s="11" t="inlineStr">
        <is>
          <t>IR 2024: ratings p.75; dims p.231-234</t>
        </is>
      </c>
      <c r="W76" s="11" t="inlineStr">
        <is>
          <t>Smallest housing with Sf ≥ 1.5 at 2.2 kW / 1400 rpm. Ratio deviation +3.9% vs 1:15. Larger alternatives: 73 (i=15.06, Sf=3.9); 721 (i=15.39, Sf=2.3). Quote both reducer-only and gearmotor lines (RFQ).</t>
        </is>
      </c>
      <c r="X76" s="13" t="inlineStr">
        <is>
          <t>IRAP 63 – IEC 100 B5 / B14</t>
        </is>
      </c>
      <c r="Y76" s="14" t="inlineStr">
        <is>
          <t>p.15 (IRP series, IEC B5/B14 flanged)</t>
        </is>
      </c>
      <c r="Z76" s="14" t="inlineStr">
        <is>
          <t>YES</t>
        </is>
      </c>
      <c r="AA76" s="15" t="n">
        <v>429</v>
      </c>
      <c r="AB76" s="14" t="inlineStr">
        <is>
          <t>Gear unit with IEC input flange, solid output shaft, foot mounted</t>
        </is>
      </c>
      <c r="AC76" s="16">
        <f>ROUND(AA76*(1-$L$2),2)</f>
        <v/>
      </c>
      <c r="AD76" s="17">
        <f>J76*AC76</f>
        <v/>
      </c>
      <c r="AE76" s="14" t="inlineStr">
        <is>
          <t>Complete gearmotor not priced here (IEC reducer requested); gearmotor prices are on price list pp.3-13 by kW/rpm</t>
        </is>
      </c>
      <c r="AF76" s="18" t="n"/>
    </row>
    <row r="77">
      <c r="A77" s="8" t="inlineStr">
        <is>
          <t>GB-073</t>
        </is>
      </c>
      <c r="B77" s="8" t="inlineStr">
        <is>
          <t>Helical Inline</t>
        </is>
      </c>
      <c r="C77" s="8" t="inlineStr">
        <is>
          <t>R / Equivalent</t>
        </is>
      </c>
      <c r="D77" s="8" t="inlineStr">
        <is>
          <t>Supplier selection</t>
        </is>
      </c>
      <c r="E77" s="8" t="n">
        <v>2.2</v>
      </c>
      <c r="F77" s="8" t="inlineStr">
        <is>
          <t>1:20</t>
        </is>
      </c>
      <c r="G77" s="8" t="inlineStr">
        <is>
          <t>B3 foot</t>
        </is>
      </c>
      <c r="H77" s="8" t="inlineStr">
        <is>
          <t>Solid output shaft</t>
        </is>
      </c>
      <c r="I77" s="8" t="inlineStr">
        <is>
          <t>IEC motor adaptor/input</t>
        </is>
      </c>
      <c r="J77" s="8" t="n">
        <v>1</v>
      </c>
      <c r="K77" s="9" t="inlineStr">
        <is>
          <t>İR (helical inline)</t>
        </is>
      </c>
      <c r="L77" s="10" t="inlineStr">
        <is>
          <t>İRAP 63  i=20.53  + IEC 100 B5 input (code 155)</t>
        </is>
      </c>
      <c r="M77" s="11" t="inlineStr">
        <is>
          <t>İRAM 63 / 100 L 4a</t>
        </is>
      </c>
      <c r="N77" s="12" t="n">
        <v>20.53</v>
      </c>
      <c r="O77" s="9" t="n">
        <v>68</v>
      </c>
      <c r="P77" s="9" t="n">
        <v>295</v>
      </c>
      <c r="Q77" s="11" t="inlineStr">
        <is>
          <t>Sf 1.6</t>
        </is>
      </c>
      <c r="R77" s="11" t="inlineStr">
        <is>
          <t>Gearmotor table, 4-pole motor, n1≈1400 rpm</t>
        </is>
      </c>
      <c r="S77" s="11" t="inlineStr">
        <is>
          <t>Solid output shaft (foot mounted)</t>
        </is>
      </c>
      <c r="T77" s="11" t="inlineStr">
        <is>
          <t>IEC 100 B5 (motor 100 L 4a)</t>
        </is>
      </c>
      <c r="U77" s="11" t="inlineStr">
        <is>
          <t>IEC B5 input flange 155 (or 156 PAM with coupling); İRAFM foot+flange version available</t>
        </is>
      </c>
      <c r="V77" s="11" t="inlineStr">
        <is>
          <t>IR 2024: ratings p.75; dims p.231-234</t>
        </is>
      </c>
      <c r="W77" s="11" t="inlineStr">
        <is>
          <t>Smallest housing with Sf ≥ 1.5 at 2.2 kW / 1400 rpm. Ratio deviation +2.7% vs 1:20. Larger alternatives: 73 (i=20.29, Sf=2.75); 721 (i=19.02, Sf=1.87). Quote both reducer-only and gearmotor lines (RFQ).</t>
        </is>
      </c>
      <c r="X77" s="13" t="inlineStr">
        <is>
          <t>IRAP 63 – IEC 100 B5 / B14</t>
        </is>
      </c>
      <c r="Y77" s="14" t="inlineStr">
        <is>
          <t>p.15 (IRP series, IEC B5/B14 flanged)</t>
        </is>
      </c>
      <c r="Z77" s="14" t="inlineStr">
        <is>
          <t>YES</t>
        </is>
      </c>
      <c r="AA77" s="15" t="n">
        <v>429</v>
      </c>
      <c r="AB77" s="14" t="inlineStr">
        <is>
          <t>Gear unit with IEC input flange, solid output shaft, foot mounted</t>
        </is>
      </c>
      <c r="AC77" s="16">
        <f>ROUND(AA77*(1-$L$2),2)</f>
        <v/>
      </c>
      <c r="AD77" s="17">
        <f>J77*AC77</f>
        <v/>
      </c>
      <c r="AE77" s="14" t="inlineStr">
        <is>
          <t>Complete gearmotor not priced here (IEC reducer requested); gearmotor prices are on price list pp.3-13 by kW/rpm</t>
        </is>
      </c>
      <c r="AF77" s="18" t="n"/>
    </row>
    <row r="78">
      <c r="A78" s="8" t="inlineStr">
        <is>
          <t>GB-074</t>
        </is>
      </c>
      <c r="B78" s="8" t="inlineStr">
        <is>
          <t>Helical Inline</t>
        </is>
      </c>
      <c r="C78" s="8" t="inlineStr">
        <is>
          <t>R / Equivalent</t>
        </is>
      </c>
      <c r="D78" s="8" t="inlineStr">
        <is>
          <t>Supplier selection</t>
        </is>
      </c>
      <c r="E78" s="8" t="n">
        <v>2.2</v>
      </c>
      <c r="F78" s="8" t="inlineStr">
        <is>
          <t>1:30</t>
        </is>
      </c>
      <c r="G78" s="8" t="inlineStr">
        <is>
          <t>B3 foot</t>
        </is>
      </c>
      <c r="H78" s="8" t="inlineStr">
        <is>
          <t>Solid output shaft</t>
        </is>
      </c>
      <c r="I78" s="8" t="inlineStr">
        <is>
          <t>IEC motor adaptor/input</t>
        </is>
      </c>
      <c r="J78" s="8" t="n">
        <v>1</v>
      </c>
      <c r="K78" s="9" t="inlineStr">
        <is>
          <t>İR (helical inline)</t>
        </is>
      </c>
      <c r="L78" s="10" t="inlineStr">
        <is>
          <t>İRAP 73  i=31.16  + IEC 100 B5 input (code 155)</t>
        </is>
      </c>
      <c r="M78" s="11" t="inlineStr">
        <is>
          <t>İRAM 73 / 100 L 4a</t>
        </is>
      </c>
      <c r="N78" s="12" t="n">
        <v>31.16</v>
      </c>
      <c r="O78" s="9" t="n">
        <v>44</v>
      </c>
      <c r="P78" s="9" t="n">
        <v>456</v>
      </c>
      <c r="Q78" s="11" t="inlineStr">
        <is>
          <t>Sf 1.75</t>
        </is>
      </c>
      <c r="R78" s="11" t="inlineStr">
        <is>
          <t>Gearmotor table, 4-pole motor, n1≈1400 rpm</t>
        </is>
      </c>
      <c r="S78" s="11" t="inlineStr">
        <is>
          <t>Solid output shaft (foot mounted)</t>
        </is>
      </c>
      <c r="T78" s="11" t="inlineStr">
        <is>
          <t>IEC 100 B5 (motor 100 L 4a)</t>
        </is>
      </c>
      <c r="U78" s="11" t="inlineStr">
        <is>
          <t>IEC B5 input flange 155 (or 156 PAM with coupling); İRAFM foot+flange version available</t>
        </is>
      </c>
      <c r="V78" s="11" t="inlineStr">
        <is>
          <t>IR 2024: ratings p.74; dims p.271-274</t>
        </is>
      </c>
      <c r="W78" s="11" t="inlineStr">
        <is>
          <t>Smallest housing with Sf ≥ 1.5 at 2.2 kW / 1400 rpm. Ratio deviation +3.9% vs 1:30. Larger alternatives: 83 (i=30.08, Sf=3.47). Quote both reducer-only and gearmotor lines (RFQ).</t>
        </is>
      </c>
      <c r="X78" s="13" t="inlineStr">
        <is>
          <t>IRAP 73 – IEC 100 B5 / B14</t>
        </is>
      </c>
      <c r="Y78" s="14" t="inlineStr">
        <is>
          <t>p.16 (IRP series, IEC B5/B14 flanged)</t>
        </is>
      </c>
      <c r="Z78" s="14" t="inlineStr">
        <is>
          <t>YES</t>
        </is>
      </c>
      <c r="AA78" s="15" t="n">
        <v>656</v>
      </c>
      <c r="AB78" s="14" t="inlineStr">
        <is>
          <t>Gear unit with IEC input flange, solid output shaft, foot mounted</t>
        </is>
      </c>
      <c r="AC78" s="16">
        <f>ROUND(AA78*(1-$L$2),2)</f>
        <v/>
      </c>
      <c r="AD78" s="17">
        <f>J78*AC78</f>
        <v/>
      </c>
      <c r="AE78" s="14" t="inlineStr">
        <is>
          <t>Complete gearmotor not priced here (IEC reducer requested); gearmotor prices are on price list pp.3-13 by kW/rpm</t>
        </is>
      </c>
      <c r="AF78" s="18" t="n"/>
    </row>
    <row r="79">
      <c r="A79" s="8" t="inlineStr">
        <is>
          <t>GB-075</t>
        </is>
      </c>
      <c r="B79" s="8" t="inlineStr">
        <is>
          <t>Helical Inline</t>
        </is>
      </c>
      <c r="C79" s="8" t="inlineStr">
        <is>
          <t>R / Equivalent</t>
        </is>
      </c>
      <c r="D79" s="8" t="inlineStr">
        <is>
          <t>Supplier selection</t>
        </is>
      </c>
      <c r="E79" s="8" t="n">
        <v>2.2</v>
      </c>
      <c r="F79" s="8" t="inlineStr">
        <is>
          <t>1:40</t>
        </is>
      </c>
      <c r="G79" s="8" t="inlineStr">
        <is>
          <t>B3 foot</t>
        </is>
      </c>
      <c r="H79" s="8" t="inlineStr">
        <is>
          <t>Solid output shaft</t>
        </is>
      </c>
      <c r="I79" s="8" t="inlineStr">
        <is>
          <t>IEC motor adaptor/input</t>
        </is>
      </c>
      <c r="J79" s="8" t="n">
        <v>1</v>
      </c>
      <c r="K79" s="9" t="inlineStr">
        <is>
          <t>İR (helical inline)</t>
        </is>
      </c>
      <c r="L79" s="10" t="inlineStr">
        <is>
          <t>İRAP 83  i=41.22  + IEC 100 B5 input (code 155)</t>
        </is>
      </c>
      <c r="M79" s="11" t="inlineStr">
        <is>
          <t>İRAM 83 / 100 L 4a</t>
        </is>
      </c>
      <c r="N79" s="12" t="n">
        <v>41.22</v>
      </c>
      <c r="O79" s="9" t="n">
        <v>33</v>
      </c>
      <c r="P79" s="9" t="n">
        <v>608</v>
      </c>
      <c r="Q79" s="11" t="inlineStr">
        <is>
          <t>Sf 2.45</t>
        </is>
      </c>
      <c r="R79" s="11" t="inlineStr">
        <is>
          <t>Gearmotor table, 4-pole motor, n1≈1400 rpm</t>
        </is>
      </c>
      <c r="S79" s="11" t="inlineStr">
        <is>
          <t>Solid output shaft (foot mounted)</t>
        </is>
      </c>
      <c r="T79" s="11" t="inlineStr">
        <is>
          <t>IEC 100 B5 (motor 100 L 4a)</t>
        </is>
      </c>
      <c r="U79" s="11" t="inlineStr">
        <is>
          <t>IEC B5 input flange 155 (or 156 PAM with coupling); İRAFM foot+flange version available</t>
        </is>
      </c>
      <c r="V79" s="11" t="inlineStr">
        <is>
          <t>IR 2024: ratings p.74; dims p.291-294</t>
        </is>
      </c>
      <c r="W79" s="11" t="inlineStr">
        <is>
          <t>Smallest housing with Sf ≥ 1.5 at 2.2 kW / 1400 rpm. Ratio deviation +3.0% vs 1:40. Quote both reducer-only and gearmotor lines (RFQ).</t>
        </is>
      </c>
      <c r="X79" s="13" t="inlineStr">
        <is>
          <t>IRAP 83 – IEC 100 B5 / B14</t>
        </is>
      </c>
      <c r="Y79" s="14" t="inlineStr">
        <is>
          <t>p.16 (IRP series, IEC B5/B14 flanged)</t>
        </is>
      </c>
      <c r="Z79" s="14" t="inlineStr">
        <is>
          <t>YES</t>
        </is>
      </c>
      <c r="AA79" s="15" t="n">
        <v>1071</v>
      </c>
      <c r="AB79" s="14" t="inlineStr">
        <is>
          <t>Gear unit with IEC input flange, solid output shaft, foot mounted</t>
        </is>
      </c>
      <c r="AC79" s="16">
        <f>ROUND(AA79*(1-$L$2),2)</f>
        <v/>
      </c>
      <c r="AD79" s="17">
        <f>J79*AC79</f>
        <v/>
      </c>
      <c r="AE79" s="14" t="inlineStr">
        <is>
          <t>Complete gearmotor not priced here (IEC reducer requested); gearmotor prices are on price list pp.3-13 by kW/rpm</t>
        </is>
      </c>
      <c r="AF79" s="18" t="n"/>
    </row>
    <row r="80">
      <c r="A80" s="8" t="inlineStr">
        <is>
          <t>GB-076</t>
        </is>
      </c>
      <c r="B80" s="8" t="inlineStr">
        <is>
          <t>Helical Inline</t>
        </is>
      </c>
      <c r="C80" s="8" t="inlineStr">
        <is>
          <t>R / Equivalent</t>
        </is>
      </c>
      <c r="D80" s="8" t="inlineStr">
        <is>
          <t>Supplier selection</t>
        </is>
      </c>
      <c r="E80" s="8" t="n">
        <v>3</v>
      </c>
      <c r="F80" s="8" t="inlineStr">
        <is>
          <t>1:10</t>
        </is>
      </c>
      <c r="G80" s="8" t="inlineStr">
        <is>
          <t>B5 flange</t>
        </is>
      </c>
      <c r="H80" s="8" t="inlineStr">
        <is>
          <t>Solid output shaft</t>
        </is>
      </c>
      <c r="I80" s="8" t="inlineStr">
        <is>
          <t>IEC motor adaptor/input</t>
        </is>
      </c>
      <c r="J80" s="8" t="n">
        <v>1</v>
      </c>
      <c r="K80" s="9" t="inlineStr">
        <is>
          <t>İR (helical inline)</t>
        </is>
      </c>
      <c r="L80" s="10" t="inlineStr">
        <is>
          <t>İRFP 62  i=10.07  + IEC 100 B5 input (code 155)</t>
        </is>
      </c>
      <c r="M80" s="11" t="inlineStr">
        <is>
          <t>İRFM 62 / 100 L 4b</t>
        </is>
      </c>
      <c r="N80" s="12" t="n">
        <v>10.07</v>
      </c>
      <c r="O80" s="9" t="n">
        <v>138</v>
      </c>
      <c r="P80" s="9" t="n">
        <v>201</v>
      </c>
      <c r="Q80" s="11" t="inlineStr">
        <is>
          <t>Sf 1.9</t>
        </is>
      </c>
      <c r="R80" s="11" t="inlineStr">
        <is>
          <t>Gearmotor table, 4-pole motor, n1≈1400 rpm</t>
        </is>
      </c>
      <c r="S80" s="11" t="inlineStr">
        <is>
          <t>Solid output shaft, B5 output flange</t>
        </is>
      </c>
      <c r="T80" s="11" t="inlineStr">
        <is>
          <t>IEC 100 B5 (motor 100 L 4b)</t>
        </is>
      </c>
      <c r="U80" s="11" t="inlineStr">
        <is>
          <t>IEC B5 input flange 155 (or 156 PAM with coupling); İRAFM foot+flange version available</t>
        </is>
      </c>
      <c r="V80" s="11" t="inlineStr">
        <is>
          <t>IR 2024: ratings p.79; dims p.231-234</t>
        </is>
      </c>
      <c r="W80" s="11" t="inlineStr">
        <is>
          <t>Smallest housing with Sf ≥ 1.5 at 3 kW / 1400 rpm. Ratio deviation +0.7% vs 1:10. Larger alternatives: 721 (i=9.866, Sf=2.4). Quote both reducer-only and gearmotor lines (RFQ).</t>
        </is>
      </c>
      <c r="X80" s="13" t="inlineStr">
        <is>
          <t>IRFP 62 – IEC 100 B5 / B14</t>
        </is>
      </c>
      <c r="Y80" s="14" t="inlineStr">
        <is>
          <t>p.15 (IRP series, IEC B5/B14 flanged)</t>
        </is>
      </c>
      <c r="Z80" s="14" t="inlineStr">
        <is>
          <t>YES</t>
        </is>
      </c>
      <c r="AA80" s="15" t="n">
        <v>457</v>
      </c>
      <c r="AB80" s="14" t="inlineStr">
        <is>
          <t>Gear unit with IEC input flange, solid output shaft, B5 output flange</t>
        </is>
      </c>
      <c r="AC80" s="16">
        <f>ROUND(AA80*(1-$L$2),2)</f>
        <v/>
      </c>
      <c r="AD80" s="17">
        <f>J80*AC80</f>
        <v/>
      </c>
      <c r="AE80" s="14" t="inlineStr">
        <is>
          <t>Complete gearmotor not priced here (IEC reducer requested); gearmotor prices are on price list pp.3-13 by kW/rpm</t>
        </is>
      </c>
      <c r="AF80" s="18" t="n"/>
    </row>
    <row r="81">
      <c r="A81" s="8" t="inlineStr">
        <is>
          <t>GB-077</t>
        </is>
      </c>
      <c r="B81" s="8" t="inlineStr">
        <is>
          <t>Helical Inline</t>
        </is>
      </c>
      <c r="C81" s="8" t="inlineStr">
        <is>
          <t>R / Equivalent</t>
        </is>
      </c>
      <c r="D81" s="8" t="inlineStr">
        <is>
          <t>Supplier selection</t>
        </is>
      </c>
      <c r="E81" s="8" t="n">
        <v>3</v>
      </c>
      <c r="F81" s="8" t="inlineStr">
        <is>
          <t>1:20</t>
        </is>
      </c>
      <c r="G81" s="8" t="inlineStr">
        <is>
          <t>B5 flange</t>
        </is>
      </c>
      <c r="H81" s="8" t="inlineStr">
        <is>
          <t>Solid output shaft</t>
        </is>
      </c>
      <c r="I81" s="8" t="inlineStr">
        <is>
          <t>IEC motor adaptor/input</t>
        </is>
      </c>
      <c r="J81" s="8" t="n">
        <v>1</v>
      </c>
      <c r="K81" s="9" t="inlineStr">
        <is>
          <t>İR (helical inline)</t>
        </is>
      </c>
      <c r="L81" s="10" t="inlineStr">
        <is>
          <t>İRFP 73  i=20.29  + IEC 100 B5 input (code 155)</t>
        </is>
      </c>
      <c r="M81" s="11" t="inlineStr">
        <is>
          <t>İRFM 73 / 100 L 4b</t>
        </is>
      </c>
      <c r="N81" s="12" t="n">
        <v>20.29</v>
      </c>
      <c r="O81" s="9" t="n">
        <v>68</v>
      </c>
      <c r="P81" s="9" t="n">
        <v>403</v>
      </c>
      <c r="Q81" s="11" t="inlineStr">
        <is>
          <t>Sf 2.01</t>
        </is>
      </c>
      <c r="R81" s="11" t="inlineStr">
        <is>
          <t>Gearmotor table, 4-pole motor, n1≈1400 rpm</t>
        </is>
      </c>
      <c r="S81" s="11" t="inlineStr">
        <is>
          <t>Solid output shaft, B5 output flange</t>
        </is>
      </c>
      <c r="T81" s="11" t="inlineStr">
        <is>
          <t>IEC 100 B5 (motor 100 L 4b)</t>
        </is>
      </c>
      <c r="U81" s="11" t="inlineStr">
        <is>
          <t>IEC B5 input flange 155 (or 156 PAM with coupling); İRAFM foot+flange version available</t>
        </is>
      </c>
      <c r="V81" s="11" t="inlineStr">
        <is>
          <t>IR 2024: ratings p.78; dims p.271-274</t>
        </is>
      </c>
      <c r="W81" s="11" t="inlineStr">
        <is>
          <t>Smallest housing with Sf ≥ 1.5 at 3 kW / 1400 rpm. Ratio deviation +1.4% vs 1:20. Larger alternatives: 83 (i=20.26, Sf=3.66). Quote both reducer-only and gearmotor lines (RFQ).</t>
        </is>
      </c>
      <c r="X81" s="13" t="inlineStr">
        <is>
          <t>IRFP 73 – IEC 100 B5 / B14</t>
        </is>
      </c>
      <c r="Y81" s="14" t="inlineStr">
        <is>
          <t>p.16 (IRP series, IEC B5/B14 flanged)</t>
        </is>
      </c>
      <c r="Z81" s="14" t="inlineStr">
        <is>
          <t>YES</t>
        </is>
      </c>
      <c r="AA81" s="15" t="n">
        <v>721</v>
      </c>
      <c r="AB81" s="14" t="inlineStr">
        <is>
          <t>Gear unit with IEC input flange, solid output shaft, B5 output flange</t>
        </is>
      </c>
      <c r="AC81" s="16">
        <f>ROUND(AA81*(1-$L$2),2)</f>
        <v/>
      </c>
      <c r="AD81" s="17">
        <f>J81*AC81</f>
        <v/>
      </c>
      <c r="AE81" s="14" t="inlineStr">
        <is>
          <t>Complete gearmotor not priced here (IEC reducer requested); gearmotor prices are on price list pp.3-13 by kW/rpm</t>
        </is>
      </c>
      <c r="AF81" s="18" t="n"/>
    </row>
    <row r="82">
      <c r="A82" s="8" t="inlineStr">
        <is>
          <t>GB-078</t>
        </is>
      </c>
      <c r="B82" s="8" t="inlineStr">
        <is>
          <t>Helical Inline</t>
        </is>
      </c>
      <c r="C82" s="8" t="inlineStr">
        <is>
          <t>R / Equivalent</t>
        </is>
      </c>
      <c r="D82" s="8" t="inlineStr">
        <is>
          <t>Supplier selection</t>
        </is>
      </c>
      <c r="E82" s="8" t="n">
        <v>3</v>
      </c>
      <c r="F82" s="8" t="inlineStr">
        <is>
          <t>1:30</t>
        </is>
      </c>
      <c r="G82" s="8" t="inlineStr">
        <is>
          <t>B5 flange</t>
        </is>
      </c>
      <c r="H82" s="8" t="inlineStr">
        <is>
          <t>Solid output shaft</t>
        </is>
      </c>
      <c r="I82" s="8" t="inlineStr">
        <is>
          <t>IEC motor adaptor/input</t>
        </is>
      </c>
      <c r="J82" s="8" t="n">
        <v>1</v>
      </c>
      <c r="K82" s="9" t="inlineStr">
        <is>
          <t>İR (helical inline)</t>
        </is>
      </c>
      <c r="L82" s="10" t="inlineStr">
        <is>
          <t>İRFP 83  i=30.08  + IEC 100 B5 input (code 155)</t>
        </is>
      </c>
      <c r="M82" s="11" t="inlineStr">
        <is>
          <t>İRFM 83 / 100 L 4b</t>
        </is>
      </c>
      <c r="N82" s="12" t="n">
        <v>30.08</v>
      </c>
      <c r="O82" s="9" t="n">
        <v>46</v>
      </c>
      <c r="P82" s="9" t="n">
        <v>595</v>
      </c>
      <c r="Q82" s="11" t="inlineStr">
        <is>
          <t>Sf 2.55</t>
        </is>
      </c>
      <c r="R82" s="11" t="inlineStr">
        <is>
          <t>Gearmotor table, 4-pole motor, n1≈1400 rpm</t>
        </is>
      </c>
      <c r="S82" s="11" t="inlineStr">
        <is>
          <t>Solid output shaft, B5 output flange</t>
        </is>
      </c>
      <c r="T82" s="11" t="inlineStr">
        <is>
          <t>IEC 100 B5 (motor 100 L 4b)</t>
        </is>
      </c>
      <c r="U82" s="11" t="inlineStr">
        <is>
          <t>IEC B5 input flange 155 (or 156 PAM with coupling); İRAFM foot+flange version available</t>
        </is>
      </c>
      <c r="V82" s="11" t="inlineStr">
        <is>
          <t>IR 2024: ratings p.78; dims p.291-294</t>
        </is>
      </c>
      <c r="W82" s="11" t="inlineStr">
        <is>
          <t>Smallest housing with Sf ≥ 1.5 at 3 kW / 1400 rpm. Ratio deviation +0.3% vs 1:30. Quote both reducer-only and gearmotor lines (RFQ).</t>
        </is>
      </c>
      <c r="X82" s="13" t="inlineStr">
        <is>
          <t>IRFP 83 – IEC 100 B5 / B14</t>
        </is>
      </c>
      <c r="Y82" s="14" t="inlineStr">
        <is>
          <t>p.16 (IRP series, IEC B5/B14 flanged)</t>
        </is>
      </c>
      <c r="Z82" s="14" t="inlineStr">
        <is>
          <t>YES</t>
        </is>
      </c>
      <c r="AA82" s="15" t="n">
        <v>1178</v>
      </c>
      <c r="AB82" s="14" t="inlineStr">
        <is>
          <t>Gear unit with IEC input flange, solid output shaft, B5 output flange</t>
        </is>
      </c>
      <c r="AC82" s="16">
        <f>ROUND(AA82*(1-$L$2),2)</f>
        <v/>
      </c>
      <c r="AD82" s="17">
        <f>J82*AC82</f>
        <v/>
      </c>
      <c r="AE82" s="14" t="inlineStr">
        <is>
          <t>Complete gearmotor not priced here (IEC reducer requested); gearmotor prices are on price list pp.3-13 by kW/rpm</t>
        </is>
      </c>
      <c r="AF82" s="18" t="n"/>
    </row>
    <row r="83">
      <c r="A83" s="8" t="inlineStr">
        <is>
          <t>GB-079</t>
        </is>
      </c>
      <c r="B83" s="8" t="inlineStr">
        <is>
          <t>Helical Inline</t>
        </is>
      </c>
      <c r="C83" s="8" t="inlineStr">
        <is>
          <t>R / Equivalent</t>
        </is>
      </c>
      <c r="D83" s="8" t="inlineStr">
        <is>
          <t>Supplier selection</t>
        </is>
      </c>
      <c r="E83" s="8" t="n">
        <v>3</v>
      </c>
      <c r="F83" s="8" t="inlineStr">
        <is>
          <t>1:40</t>
        </is>
      </c>
      <c r="G83" s="8" t="inlineStr">
        <is>
          <t>B5 flange</t>
        </is>
      </c>
      <c r="H83" s="8" t="inlineStr">
        <is>
          <t>Solid output shaft</t>
        </is>
      </c>
      <c r="I83" s="8" t="inlineStr">
        <is>
          <t>IEC motor adaptor/input</t>
        </is>
      </c>
      <c r="J83" s="8" t="n">
        <v>1</v>
      </c>
      <c r="K83" s="9" t="inlineStr">
        <is>
          <t>İR (helical inline)</t>
        </is>
      </c>
      <c r="L83" s="10" t="inlineStr">
        <is>
          <t>İRFP 83  i=41.22  + IEC 100 B5 input (code 155)</t>
        </is>
      </c>
      <c r="M83" s="11" t="inlineStr">
        <is>
          <t>İRFM 83 / 100 L 4b</t>
        </is>
      </c>
      <c r="N83" s="12" t="n">
        <v>41.22</v>
      </c>
      <c r="O83" s="9" t="n">
        <v>33</v>
      </c>
      <c r="P83" s="9" t="n">
        <v>830</v>
      </c>
      <c r="Q83" s="11" t="inlineStr">
        <is>
          <t>Sf 1.8</t>
        </is>
      </c>
      <c r="R83" s="11" t="inlineStr">
        <is>
          <t>Gearmotor table, 4-pole motor, n1≈1400 rpm</t>
        </is>
      </c>
      <c r="S83" s="11" t="inlineStr">
        <is>
          <t>Solid output shaft, B5 output flange</t>
        </is>
      </c>
      <c r="T83" s="11" t="inlineStr">
        <is>
          <t>IEC 100 B5 (motor 100 L 4b)</t>
        </is>
      </c>
      <c r="U83" s="11" t="inlineStr">
        <is>
          <t>IEC B5 input flange 155 (or 156 PAM with coupling); İRAFM foot+flange version available</t>
        </is>
      </c>
      <c r="V83" s="11" t="inlineStr">
        <is>
          <t>IR 2024: ratings p.78; dims p.291-294</t>
        </is>
      </c>
      <c r="W83" s="11" t="inlineStr">
        <is>
          <t>Smallest housing with Sf ≥ 1.5 at 3 kW / 1400 rpm. Ratio deviation +3.0% vs 1:40. Larger alternatives: 93 (i=39.13, Sf=3.59). Quote both reducer-only and gearmotor lines (RFQ).</t>
        </is>
      </c>
      <c r="X83" s="13" t="inlineStr">
        <is>
          <t>IRFP 83 – IEC 100 B5 / B14</t>
        </is>
      </c>
      <c r="Y83" s="14" t="inlineStr">
        <is>
          <t>p.16 (IRP series, IEC B5/B14 flanged)</t>
        </is>
      </c>
      <c r="Z83" s="14" t="inlineStr">
        <is>
          <t>YES</t>
        </is>
      </c>
      <c r="AA83" s="15" t="n">
        <v>1178</v>
      </c>
      <c r="AB83" s="14" t="inlineStr">
        <is>
          <t>Gear unit with IEC input flange, solid output shaft, B5 output flange</t>
        </is>
      </c>
      <c r="AC83" s="16">
        <f>ROUND(AA83*(1-$L$2),2)</f>
        <v/>
      </c>
      <c r="AD83" s="17">
        <f>J83*AC83</f>
        <v/>
      </c>
      <c r="AE83" s="14" t="inlineStr">
        <is>
          <t>Complete gearmotor not priced here (IEC reducer requested); gearmotor prices are on price list pp.3-13 by kW/rpm</t>
        </is>
      </c>
      <c r="AF83" s="18" t="n"/>
    </row>
    <row r="84">
      <c r="A84" s="8" t="inlineStr">
        <is>
          <t>GB-080</t>
        </is>
      </c>
      <c r="B84" s="8" t="inlineStr">
        <is>
          <t>Helical Inline</t>
        </is>
      </c>
      <c r="C84" s="8" t="inlineStr">
        <is>
          <t>R / Equivalent</t>
        </is>
      </c>
      <c r="D84" s="8" t="inlineStr">
        <is>
          <t>Supplier selection</t>
        </is>
      </c>
      <c r="E84" s="8" t="n">
        <v>4</v>
      </c>
      <c r="F84" s="8" t="inlineStr">
        <is>
          <t>1:10</t>
        </is>
      </c>
      <c r="G84" s="8" t="inlineStr">
        <is>
          <t>B5 flange</t>
        </is>
      </c>
      <c r="H84" s="8" t="inlineStr">
        <is>
          <t>Solid output shaft</t>
        </is>
      </c>
      <c r="I84" s="8" t="inlineStr">
        <is>
          <t>IEC motor adaptor/input</t>
        </is>
      </c>
      <c r="J84" s="8" t="n">
        <v>1</v>
      </c>
      <c r="K84" s="9" t="inlineStr">
        <is>
          <t>İR (helical inline)</t>
        </is>
      </c>
      <c r="L84" s="10" t="inlineStr">
        <is>
          <t>İRFP 721  i=9.866  + IEC 112 B5 input (code 155)</t>
        </is>
      </c>
      <c r="M84" s="11" t="inlineStr">
        <is>
          <t>İRFM 721 / 112 M 4b</t>
        </is>
      </c>
      <c r="N84" s="12" t="n">
        <v>9.866</v>
      </c>
      <c r="O84" s="9" t="n">
        <v>141</v>
      </c>
      <c r="P84" s="9" t="n">
        <v>263</v>
      </c>
      <c r="Q84" s="11" t="inlineStr">
        <is>
          <t>Sf 1.8</t>
        </is>
      </c>
      <c r="R84" s="11" t="inlineStr">
        <is>
          <t>Gearmotor table, 4-pole motor, n1≈1400 rpm</t>
        </is>
      </c>
      <c r="S84" s="11" t="inlineStr">
        <is>
          <t>Solid output shaft, B5 output flange</t>
        </is>
      </c>
      <c r="T84" s="11" t="inlineStr">
        <is>
          <t>IEC 112 B5 (motor 112 M 4b)</t>
        </is>
      </c>
      <c r="U84" s="11" t="inlineStr">
        <is>
          <t>IEC B5 input flange 155 (or 156 PAM with coupling); İRAFM foot+flange version available</t>
        </is>
      </c>
      <c r="V84" s="11" t="inlineStr">
        <is>
          <t>IR 2024: ratings p.83; dims p.251-254</t>
        </is>
      </c>
      <c r="W84" s="11" t="inlineStr">
        <is>
          <t>Smallest housing with Sf ≥ 1.5 at 4 kW / 1400 rpm. Ratio deviation -1.3% vs 1:10. Larger alternatives: 82 (i=9.689, Sf=4.65). Quote both reducer-only and gearmotor lines (RFQ).</t>
        </is>
      </c>
      <c r="X84" s="13" t="inlineStr">
        <is>
          <t>IRFP 721 – IEC 112 B5 / B14</t>
        </is>
      </c>
      <c r="Y84" s="14" t="inlineStr">
        <is>
          <t>p.16 (IRP series, IEC B5/B14 flanged)</t>
        </is>
      </c>
      <c r="Z84" s="14" t="inlineStr">
        <is>
          <t>YES</t>
        </is>
      </c>
      <c r="AA84" s="15" t="n">
        <v>627</v>
      </c>
      <c r="AB84" s="14" t="inlineStr">
        <is>
          <t>Gear unit with IEC input flange, solid output shaft, B5 output flange</t>
        </is>
      </c>
      <c r="AC84" s="16">
        <f>ROUND(AA84*(1-$L$2),2)</f>
        <v/>
      </c>
      <c r="AD84" s="17">
        <f>J84*AC84</f>
        <v/>
      </c>
      <c r="AE84" s="14" t="inlineStr">
        <is>
          <t>Complete gearmotor not priced here (IEC reducer requested); gearmotor prices are on price list pp.3-13 by kW/rpm</t>
        </is>
      </c>
      <c r="AF84" s="18" t="n"/>
    </row>
    <row r="85">
      <c r="A85" s="8" t="inlineStr">
        <is>
          <t>GB-081</t>
        </is>
      </c>
      <c r="B85" s="8" t="inlineStr">
        <is>
          <t>Helical Inline</t>
        </is>
      </c>
      <c r="C85" s="8" t="inlineStr">
        <is>
          <t>R / Equivalent</t>
        </is>
      </c>
      <c r="D85" s="8" t="inlineStr">
        <is>
          <t>Supplier selection</t>
        </is>
      </c>
      <c r="E85" s="8" t="n">
        <v>4</v>
      </c>
      <c r="F85" s="8" t="inlineStr">
        <is>
          <t>1:20</t>
        </is>
      </c>
      <c r="G85" s="8" t="inlineStr">
        <is>
          <t>B5 flange</t>
        </is>
      </c>
      <c r="H85" s="8" t="inlineStr">
        <is>
          <t>Solid output shaft</t>
        </is>
      </c>
      <c r="I85" s="8" t="inlineStr">
        <is>
          <t>IEC motor adaptor/input</t>
        </is>
      </c>
      <c r="J85" s="8" t="n">
        <v>1</v>
      </c>
      <c r="K85" s="9" t="inlineStr">
        <is>
          <t>İR (helical inline)</t>
        </is>
      </c>
      <c r="L85" s="10" t="inlineStr">
        <is>
          <t>İRFP 73  i=20.29  + IEC 112 B5 input (code 155)</t>
        </is>
      </c>
      <c r="M85" s="11" t="inlineStr">
        <is>
          <t>İRFM 73 / 112 M 4b</t>
        </is>
      </c>
      <c r="N85" s="12" t="n">
        <v>20.29</v>
      </c>
      <c r="O85" s="9" t="n">
        <v>68</v>
      </c>
      <c r="P85" s="9" t="n">
        <v>537</v>
      </c>
      <c r="Q85" s="11" t="inlineStr">
        <is>
          <t>Sf 1.51</t>
        </is>
      </c>
      <c r="R85" s="11" t="inlineStr">
        <is>
          <t>Gearmotor table, 4-pole motor, n1≈1400 rpm</t>
        </is>
      </c>
      <c r="S85" s="11" t="inlineStr">
        <is>
          <t>Solid output shaft, B5 output flange</t>
        </is>
      </c>
      <c r="T85" s="11" t="inlineStr">
        <is>
          <t>IEC 112 B5 (motor 112 M 4b)</t>
        </is>
      </c>
      <c r="U85" s="11" t="inlineStr">
        <is>
          <t>IEC B5 input flange 155 (or 156 PAM with coupling); İRAFM foot+flange version available</t>
        </is>
      </c>
      <c r="V85" s="11" t="inlineStr">
        <is>
          <t>IR 2024: ratings p.83; dims p.271-274</t>
        </is>
      </c>
      <c r="W85" s="11" t="inlineStr">
        <is>
          <t>Smallest housing with Sf ≥ 1.5 at 4 kW / 1400 rpm. Ratio deviation +1.4% vs 1:20. Larger alternatives: 83 (i=20.26, Sf=2.75); 92 (i=20.6, Sf=4.5). Quote both reducer-only and gearmotor lines (RFQ). Sf 1.51 is at the limit; take İR 83 (Sf 2.75) if duty is heavy.</t>
        </is>
      </c>
      <c r="X85" s="13" t="inlineStr">
        <is>
          <t>IRFP 73 – IEC 112 B5 / B14</t>
        </is>
      </c>
      <c r="Y85" s="14" t="inlineStr">
        <is>
          <t>p.16 (IRP series, IEC B5/B14 flanged)</t>
        </is>
      </c>
      <c r="Z85" s="14" t="inlineStr">
        <is>
          <t>YES</t>
        </is>
      </c>
      <c r="AA85" s="15" t="n">
        <v>721</v>
      </c>
      <c r="AB85" s="14" t="inlineStr">
        <is>
          <t>Gear unit with IEC input flange, solid output shaft, B5 output flange</t>
        </is>
      </c>
      <c r="AC85" s="16">
        <f>ROUND(AA85*(1-$L$2),2)</f>
        <v/>
      </c>
      <c r="AD85" s="17">
        <f>J85*AC85</f>
        <v/>
      </c>
      <c r="AE85" s="14" t="inlineStr">
        <is>
          <t>Complete gearmotor not priced here (IEC reducer requested); gearmotor prices are on price list pp.3-13 by kW/rpm</t>
        </is>
      </c>
      <c r="AF85" s="18" t="n"/>
    </row>
    <row r="86">
      <c r="A86" s="8" t="inlineStr">
        <is>
          <t>GB-082</t>
        </is>
      </c>
      <c r="B86" s="8" t="inlineStr">
        <is>
          <t>Helical Inline</t>
        </is>
      </c>
      <c r="C86" s="8" t="inlineStr">
        <is>
          <t>R / Equivalent</t>
        </is>
      </c>
      <c r="D86" s="8" t="inlineStr">
        <is>
          <t>Supplier selection</t>
        </is>
      </c>
      <c r="E86" s="8" t="n">
        <v>4</v>
      </c>
      <c r="F86" s="8" t="inlineStr">
        <is>
          <t>1:30</t>
        </is>
      </c>
      <c r="G86" s="8" t="inlineStr">
        <is>
          <t>B5 flange</t>
        </is>
      </c>
      <c r="H86" s="8" t="inlineStr">
        <is>
          <t>Solid output shaft</t>
        </is>
      </c>
      <c r="I86" s="8" t="inlineStr">
        <is>
          <t>IEC motor adaptor/input</t>
        </is>
      </c>
      <c r="J86" s="8" t="n">
        <v>1</v>
      </c>
      <c r="K86" s="9" t="inlineStr">
        <is>
          <t>İR (helical inline)</t>
        </is>
      </c>
      <c r="L86" s="10" t="inlineStr">
        <is>
          <t>İRFP 83  i=30.08  + IEC 112 B5 input (code 155)</t>
        </is>
      </c>
      <c r="M86" s="11" t="inlineStr">
        <is>
          <t>İRFM 83 / 112 M 4b</t>
        </is>
      </c>
      <c r="N86" s="12" t="n">
        <v>30.08</v>
      </c>
      <c r="O86" s="9" t="n">
        <v>46</v>
      </c>
      <c r="P86" s="9" t="n">
        <v>794</v>
      </c>
      <c r="Q86" s="11" t="inlineStr">
        <is>
          <t>Sf 1.91</t>
        </is>
      </c>
      <c r="R86" s="11" t="inlineStr">
        <is>
          <t>Gearmotor table, 4-pole motor, n1≈1400 rpm</t>
        </is>
      </c>
      <c r="S86" s="11" t="inlineStr">
        <is>
          <t>Solid output shaft, B5 output flange</t>
        </is>
      </c>
      <c r="T86" s="11" t="inlineStr">
        <is>
          <t>IEC 112 B5 (motor 112 M 4b)</t>
        </is>
      </c>
      <c r="U86" s="11" t="inlineStr">
        <is>
          <t>IEC B5 input flange 155 (or 156 PAM with coupling); İRAFM foot+flange version available</t>
        </is>
      </c>
      <c r="V86" s="11" t="inlineStr">
        <is>
          <t>IR 2024: ratings p.82; dims p.291-294</t>
        </is>
      </c>
      <c r="W86" s="11" t="inlineStr">
        <is>
          <t>Smallest housing with Sf ≥ 1.5 at 4 kW / 1400 rpm. Ratio deviation +0.3% vs 1:30. Larger alternatives: 93 (i=29.52, Sf=3.6). Quote both reducer-only and gearmotor lines (RFQ).</t>
        </is>
      </c>
      <c r="X86" s="13" t="inlineStr">
        <is>
          <t>IRFP 83 – IEC 112 B5 / B14</t>
        </is>
      </c>
      <c r="Y86" s="14" t="inlineStr">
        <is>
          <t>p.16 (IRP series, IEC B5/B14 flanged)</t>
        </is>
      </c>
      <c r="Z86" s="14" t="inlineStr">
        <is>
          <t>YES</t>
        </is>
      </c>
      <c r="AA86" s="15" t="n">
        <v>1178</v>
      </c>
      <c r="AB86" s="14" t="inlineStr">
        <is>
          <t>Gear unit with IEC input flange, solid output shaft, B5 output flange</t>
        </is>
      </c>
      <c r="AC86" s="16">
        <f>ROUND(AA86*(1-$L$2),2)</f>
        <v/>
      </c>
      <c r="AD86" s="17">
        <f>J86*AC86</f>
        <v/>
      </c>
      <c r="AE86" s="14" t="inlineStr">
        <is>
          <t>Complete gearmotor not priced here (IEC reducer requested); gearmotor prices are on price list pp.3-13 by kW/rpm</t>
        </is>
      </c>
      <c r="AF86" s="18" t="n"/>
    </row>
    <row r="87">
      <c r="A87" s="8" t="inlineStr">
        <is>
          <t>GB-083</t>
        </is>
      </c>
      <c r="B87" s="8" t="inlineStr">
        <is>
          <t>Helical Inline</t>
        </is>
      </c>
      <c r="C87" s="8" t="inlineStr">
        <is>
          <t>R / Equivalent</t>
        </is>
      </c>
      <c r="D87" s="8" t="inlineStr">
        <is>
          <t>Supplier selection</t>
        </is>
      </c>
      <c r="E87" s="8" t="n">
        <v>5.5</v>
      </c>
      <c r="F87" s="8" t="inlineStr">
        <is>
          <t>1:10</t>
        </is>
      </c>
      <c r="G87" s="8" t="inlineStr">
        <is>
          <t>B5 flange</t>
        </is>
      </c>
      <c r="H87" s="8" t="inlineStr">
        <is>
          <t>Solid output shaft</t>
        </is>
      </c>
      <c r="I87" s="8" t="inlineStr">
        <is>
          <t>IEC motor adaptor/input</t>
        </is>
      </c>
      <c r="J87" s="8" t="n">
        <v>1</v>
      </c>
      <c r="K87" s="9" t="inlineStr">
        <is>
          <t>İR (helical inline)</t>
        </is>
      </c>
      <c r="L87" s="10" t="inlineStr">
        <is>
          <t>İRFP 82  i=9.689  + IEC 132 B5 input (code 155)</t>
        </is>
      </c>
      <c r="M87" s="11" t="inlineStr">
        <is>
          <t>İRFM 82 / 132 S 4a</t>
        </is>
      </c>
      <c r="N87" s="12" t="n">
        <v>9.689</v>
      </c>
      <c r="O87" s="9" t="n">
        <v>144</v>
      </c>
      <c r="P87" s="9" t="n">
        <v>354</v>
      </c>
      <c r="Q87" s="11" t="inlineStr">
        <is>
          <t>Sf 3.38</t>
        </is>
      </c>
      <c r="R87" s="11" t="inlineStr">
        <is>
          <t>Gearmotor table, 4-pole motor, n1≈1400 rpm</t>
        </is>
      </c>
      <c r="S87" s="11" t="inlineStr">
        <is>
          <t>Solid output shaft, B5 output flange</t>
        </is>
      </c>
      <c r="T87" s="11" t="inlineStr">
        <is>
          <t>IEC 132 B5 (motor 132 S 4a)</t>
        </is>
      </c>
      <c r="U87" s="11" t="inlineStr">
        <is>
          <t>IEC B5 input flange 155 (or 156 PAM with coupling); İRAFM foot+flange version available</t>
        </is>
      </c>
      <c r="V87" s="11" t="inlineStr">
        <is>
          <t>IR 2024: ratings p.86; dims p.291-294</t>
        </is>
      </c>
      <c r="W87" s="11" t="inlineStr">
        <is>
          <t>Smallest housing with Sf ≥ 1.5 at 5.5 kW / 1400 rpm. Ratio deviation -3.1% vs 1:10. Quote both reducer-only and gearmotor lines (RFQ).</t>
        </is>
      </c>
      <c r="X87" s="13" t="inlineStr">
        <is>
          <t>IRFP 82 – IEC 132 B5 / B14</t>
        </is>
      </c>
      <c r="Y87" s="14" t="inlineStr">
        <is>
          <t>p.16 (IRP series, IEC B5/B14 flanged)</t>
        </is>
      </c>
      <c r="Z87" s="14" t="inlineStr">
        <is>
          <t>YES</t>
        </is>
      </c>
      <c r="AA87" s="15" t="n">
        <v>1168</v>
      </c>
      <c r="AB87" s="14" t="inlineStr">
        <is>
          <t>Gear unit with IEC input flange, solid output shaft, B5 output flange</t>
        </is>
      </c>
      <c r="AC87" s="16">
        <f>ROUND(AA87*(1-$L$2),2)</f>
        <v/>
      </c>
      <c r="AD87" s="17">
        <f>J87*AC87</f>
        <v/>
      </c>
      <c r="AE87" s="14" t="inlineStr">
        <is>
          <t>Complete gearmotor not priced here (IEC reducer requested); gearmotor prices are on price list pp.3-13 by kW/rpm</t>
        </is>
      </c>
      <c r="AF87" s="18" t="n"/>
    </row>
    <row r="88">
      <c r="A88" s="8" t="inlineStr">
        <is>
          <t>GB-084</t>
        </is>
      </c>
      <c r="B88" s="8" t="inlineStr">
        <is>
          <t>Helical Inline</t>
        </is>
      </c>
      <c r="C88" s="8" t="inlineStr">
        <is>
          <t>R / Equivalent</t>
        </is>
      </c>
      <c r="D88" s="8" t="inlineStr">
        <is>
          <t>Supplier selection</t>
        </is>
      </c>
      <c r="E88" s="8" t="n">
        <v>5.5</v>
      </c>
      <c r="F88" s="8" t="inlineStr">
        <is>
          <t>1:20</t>
        </is>
      </c>
      <c r="G88" s="8" t="inlineStr">
        <is>
          <t>B5 flange</t>
        </is>
      </c>
      <c r="H88" s="8" t="inlineStr">
        <is>
          <t>Solid output shaft</t>
        </is>
      </c>
      <c r="I88" s="8" t="inlineStr">
        <is>
          <t>IEC motor adaptor/input</t>
        </is>
      </c>
      <c r="J88" s="8" t="n">
        <v>1</v>
      </c>
      <c r="K88" s="9" t="inlineStr">
        <is>
          <t>İR (helical inline)</t>
        </is>
      </c>
      <c r="L88" s="10" t="inlineStr">
        <is>
          <t>İRFP 83  i=20.26  + IEC 132 B5 input (code 155)</t>
        </is>
      </c>
      <c r="M88" s="11" t="inlineStr">
        <is>
          <t>İRFM 83 / 132 S 4a</t>
        </is>
      </c>
      <c r="N88" s="12" t="n">
        <v>20.26</v>
      </c>
      <c r="O88" s="9" t="n">
        <v>69</v>
      </c>
      <c r="P88" s="9" t="n">
        <v>727</v>
      </c>
      <c r="Q88" s="11" t="inlineStr">
        <is>
          <t>Sf 2.0</t>
        </is>
      </c>
      <c r="R88" s="11" t="inlineStr">
        <is>
          <t>Gearmotor table, 4-pole motor, n1≈1400 rpm</t>
        </is>
      </c>
      <c r="S88" s="11" t="inlineStr">
        <is>
          <t>Solid output shaft, B5 output flange</t>
        </is>
      </c>
      <c r="T88" s="11" t="inlineStr">
        <is>
          <t>IEC 132 B5 (motor 132 S 4a)</t>
        </is>
      </c>
      <c r="U88" s="11" t="inlineStr">
        <is>
          <t>IEC B5 input flange 155 (or 156 PAM with coupling); İRAFM foot+flange version available</t>
        </is>
      </c>
      <c r="V88" s="11" t="inlineStr">
        <is>
          <t>IR 2024: ratings p.86; dims p.291-294</t>
        </is>
      </c>
      <c r="W88" s="11" t="inlineStr">
        <is>
          <t>Smallest housing with Sf ≥ 1.5 at 5.5 kW / 1400 rpm. Ratio deviation +1.3% vs 1:20. Larger alternatives: 92 (i=20.6, Sf=3.27); 93 (i=20.09, Sf=3.8). Quote both reducer-only and gearmotor lines (RFQ).</t>
        </is>
      </c>
      <c r="X88" s="13" t="inlineStr">
        <is>
          <t>IRFP 83 – IEC 132 B5 / B14</t>
        </is>
      </c>
      <c r="Y88" s="14" t="inlineStr">
        <is>
          <t>p.16 (IRP series, IEC B5/B14 flanged)</t>
        </is>
      </c>
      <c r="Z88" s="14" t="inlineStr">
        <is>
          <t>YES</t>
        </is>
      </c>
      <c r="AA88" s="15" t="n">
        <v>1194</v>
      </c>
      <c r="AB88" s="14" t="inlineStr">
        <is>
          <t>Gear unit with IEC input flange, solid output shaft, B5 output flange</t>
        </is>
      </c>
      <c r="AC88" s="16">
        <f>ROUND(AA88*(1-$L$2),2)</f>
        <v/>
      </c>
      <c r="AD88" s="17">
        <f>J88*AC88</f>
        <v/>
      </c>
      <c r="AE88" s="14" t="inlineStr">
        <is>
          <t>Complete gearmotor not priced here (IEC reducer requested); gearmotor prices are on price list pp.3-13 by kW/rpm</t>
        </is>
      </c>
      <c r="AF88" s="18" t="n"/>
    </row>
    <row r="89">
      <c r="A89" s="8" t="inlineStr">
        <is>
          <t>GB-085</t>
        </is>
      </c>
      <c r="B89" s="8" t="inlineStr">
        <is>
          <t>Helical Inline</t>
        </is>
      </c>
      <c r="C89" s="8" t="inlineStr">
        <is>
          <t>R / Equivalent</t>
        </is>
      </c>
      <c r="D89" s="8" t="inlineStr">
        <is>
          <t>Supplier selection</t>
        </is>
      </c>
      <c r="E89" s="8" t="n">
        <v>5.5</v>
      </c>
      <c r="F89" s="8" t="inlineStr">
        <is>
          <t>1:30</t>
        </is>
      </c>
      <c r="G89" s="8" t="inlineStr">
        <is>
          <t>B5 flange</t>
        </is>
      </c>
      <c r="H89" s="8" t="inlineStr">
        <is>
          <t>Solid output shaft</t>
        </is>
      </c>
      <c r="I89" s="8" t="inlineStr">
        <is>
          <t>IEC motor adaptor/input</t>
        </is>
      </c>
      <c r="J89" s="8" t="n">
        <v>1</v>
      </c>
      <c r="K89" s="9" t="inlineStr">
        <is>
          <t>İR (helical inline)</t>
        </is>
      </c>
      <c r="L89" s="10" t="inlineStr">
        <is>
          <t>İRFP 93  i=29.52  + IEC 132 B5 input (code 155)</t>
        </is>
      </c>
      <c r="M89" s="11" t="inlineStr">
        <is>
          <t>İRFM 93 / 132 S 4a</t>
        </is>
      </c>
      <c r="N89" s="12" t="n">
        <v>29.52</v>
      </c>
      <c r="O89" s="9" t="n">
        <v>47</v>
      </c>
      <c r="P89" s="9" t="n">
        <v>1068</v>
      </c>
      <c r="Q89" s="11" t="inlineStr">
        <is>
          <t>Sf 2.62</t>
        </is>
      </c>
      <c r="R89" s="11" t="inlineStr">
        <is>
          <t>Gearmotor table, 4-pole motor, n1≈1400 rpm</t>
        </is>
      </c>
      <c r="S89" s="11" t="inlineStr">
        <is>
          <t>Solid output shaft, B5 output flange</t>
        </is>
      </c>
      <c r="T89" s="11" t="inlineStr">
        <is>
          <t>IEC 132 B5 (motor 132 S 4a)</t>
        </is>
      </c>
      <c r="U89" s="11" t="inlineStr">
        <is>
          <t>IEC B5 input flange 155 (or 156 PAM with coupling); İRAFM foot+flange version available</t>
        </is>
      </c>
      <c r="V89" s="11" t="inlineStr">
        <is>
          <t>IR 2024: ratings p.86; dims p.311-314</t>
        </is>
      </c>
      <c r="W89" s="11" t="inlineStr">
        <is>
          <t>Smallest housing with Sf ≥ 1.5 at 5.5 kW / 1400 rpm. Ratio deviation -1.6% vs 1:30. Quote both reducer-only and gearmotor lines (RFQ).</t>
        </is>
      </c>
      <c r="X89" s="13" t="inlineStr">
        <is>
          <t>IRFP 93 – IEC 132 B5</t>
        </is>
      </c>
      <c r="Y89" s="14" t="inlineStr">
        <is>
          <t>p.17 (IRP series, IEC B5/B14 flanged)</t>
        </is>
      </c>
      <c r="Z89" s="14" t="inlineStr">
        <is>
          <t>YES</t>
        </is>
      </c>
      <c r="AA89" s="15" t="n">
        <v>1551</v>
      </c>
      <c r="AB89" s="14" t="inlineStr">
        <is>
          <t>Gear unit with IEC input flange, solid output shaft, B5 output flange</t>
        </is>
      </c>
      <c r="AC89" s="16">
        <f>ROUND(AA89*(1-$L$2),2)</f>
        <v/>
      </c>
      <c r="AD89" s="17">
        <f>J89*AC89</f>
        <v/>
      </c>
      <c r="AE89" s="14" t="inlineStr">
        <is>
          <t>Complete gearmotor not priced here (IEC reducer requested); gearmotor prices are on price list pp.3-13 by kW/rpm</t>
        </is>
      </c>
      <c r="AF89" s="18" t="n"/>
    </row>
    <row r="90">
      <c r="A90" s="8" t="inlineStr">
        <is>
          <t>GB-086</t>
        </is>
      </c>
      <c r="B90" s="8" t="inlineStr">
        <is>
          <t>Helical Inline</t>
        </is>
      </c>
      <c r="C90" s="8" t="inlineStr">
        <is>
          <t>R / Equivalent</t>
        </is>
      </c>
      <c r="D90" s="8" t="inlineStr">
        <is>
          <t>Supplier selection</t>
        </is>
      </c>
      <c r="E90" s="8" t="n">
        <v>7.5</v>
      </c>
      <c r="F90" s="8" t="inlineStr">
        <is>
          <t>1:10</t>
        </is>
      </c>
      <c r="G90" s="8" t="inlineStr">
        <is>
          <t>B5 flange</t>
        </is>
      </c>
      <c r="H90" s="8" t="inlineStr">
        <is>
          <t>Solid output shaft</t>
        </is>
      </c>
      <c r="I90" s="8" t="inlineStr">
        <is>
          <t>IEC motor adaptor/input</t>
        </is>
      </c>
      <c r="J90" s="8" t="n">
        <v>1</v>
      </c>
      <c r="K90" s="9" t="inlineStr">
        <is>
          <t>İR (helical inline)</t>
        </is>
      </c>
      <c r="L90" s="10" t="inlineStr">
        <is>
          <t>İRFP 82  i=9.689  + IEC 132 B5 input (code 155)</t>
        </is>
      </c>
      <c r="M90" s="11" t="inlineStr">
        <is>
          <t>İRFM 82 / 132 M 4a</t>
        </is>
      </c>
      <c r="N90" s="12" t="n">
        <v>9.689</v>
      </c>
      <c r="O90" s="9" t="n">
        <v>144</v>
      </c>
      <c r="P90" s="9" t="n">
        <v>483</v>
      </c>
      <c r="Q90" s="11" t="inlineStr">
        <is>
          <t>Sf 2.48</t>
        </is>
      </c>
      <c r="R90" s="11" t="inlineStr">
        <is>
          <t>Gearmotor table, 4-pole motor, n1≈1400 rpm</t>
        </is>
      </c>
      <c r="S90" s="11" t="inlineStr">
        <is>
          <t>Solid output shaft, B5 output flange</t>
        </is>
      </c>
      <c r="T90" s="11" t="inlineStr">
        <is>
          <t>IEC 132 B5 (motor 132 M 4a)</t>
        </is>
      </c>
      <c r="U90" s="11" t="inlineStr">
        <is>
          <t>IEC B5 input flange 155 (or 156 PAM with coupling); İRAFM foot+flange version available</t>
        </is>
      </c>
      <c r="V90" s="11" t="inlineStr">
        <is>
          <t>IR 2024: ratings p.90; dims p.291-294</t>
        </is>
      </c>
      <c r="W90" s="11" t="inlineStr">
        <is>
          <t>Smallest housing with Sf ≥ 1.5 at 7.5 kW / 1400 rpm. Ratio deviation -3.1% vs 1:10. Larger alternatives: 92 (i=10.05, Sf=4.4). Quote both reducer-only and gearmotor lines (RFQ).</t>
        </is>
      </c>
      <c r="X90" s="13" t="inlineStr">
        <is>
          <t>IRFP 82 – IEC 132 B5 / B14</t>
        </is>
      </c>
      <c r="Y90" s="14" t="inlineStr">
        <is>
          <t>p.16 (IRP series, IEC B5/B14 flanged)</t>
        </is>
      </c>
      <c r="Z90" s="14" t="inlineStr">
        <is>
          <t>YES</t>
        </is>
      </c>
      <c r="AA90" s="15" t="n">
        <v>1168</v>
      </c>
      <c r="AB90" s="14" t="inlineStr">
        <is>
          <t>Gear unit with IEC input flange, solid output shaft, B5 output flange</t>
        </is>
      </c>
      <c r="AC90" s="16">
        <f>ROUND(AA90*(1-$L$2),2)</f>
        <v/>
      </c>
      <c r="AD90" s="17">
        <f>J90*AC90</f>
        <v/>
      </c>
      <c r="AE90" s="14" t="inlineStr">
        <is>
          <t>Complete gearmotor not priced here (IEC reducer requested); gearmotor prices are on price list pp.3-13 by kW/rpm</t>
        </is>
      </c>
      <c r="AF90" s="18" t="n"/>
    </row>
    <row r="91">
      <c r="A91" s="8" t="inlineStr">
        <is>
          <t>GB-087</t>
        </is>
      </c>
      <c r="B91" s="8" t="inlineStr">
        <is>
          <t>Helical Inline</t>
        </is>
      </c>
      <c r="C91" s="8" t="inlineStr">
        <is>
          <t>R / Equivalent</t>
        </is>
      </c>
      <c r="D91" s="8" t="inlineStr">
        <is>
          <t>Supplier selection</t>
        </is>
      </c>
      <c r="E91" s="8" t="n">
        <v>7.5</v>
      </c>
      <c r="F91" s="8" t="inlineStr">
        <is>
          <t>1:20</t>
        </is>
      </c>
      <c r="G91" s="8" t="inlineStr">
        <is>
          <t>B5 flange</t>
        </is>
      </c>
      <c r="H91" s="8" t="inlineStr">
        <is>
          <t>Solid output shaft</t>
        </is>
      </c>
      <c r="I91" s="8" t="inlineStr">
        <is>
          <t>IEC motor adaptor/input</t>
        </is>
      </c>
      <c r="J91" s="8" t="n">
        <v>1</v>
      </c>
      <c r="K91" s="9" t="inlineStr">
        <is>
          <t>İR (helical inline)</t>
        </is>
      </c>
      <c r="L91" s="10" t="inlineStr">
        <is>
          <t>İRFP 92  i=20.6  + IEC 132 B5 input (code 155)</t>
        </is>
      </c>
      <c r="M91" s="11" t="inlineStr">
        <is>
          <t>İRFM 92 / 132 M 4a</t>
        </is>
      </c>
      <c r="N91" s="12" t="n">
        <v>20.6</v>
      </c>
      <c r="O91" s="9" t="n">
        <v>67</v>
      </c>
      <c r="P91" s="9" t="n">
        <v>1037</v>
      </c>
      <c r="Q91" s="11" t="inlineStr">
        <is>
          <t>Sf 2.4</t>
        </is>
      </c>
      <c r="R91" s="11" t="inlineStr">
        <is>
          <t>Gearmotor table, 4-pole motor, n1≈1400 rpm</t>
        </is>
      </c>
      <c r="S91" s="11" t="inlineStr">
        <is>
          <t>Solid output shaft, B5 output flange</t>
        </is>
      </c>
      <c r="T91" s="11" t="inlineStr">
        <is>
          <t>IEC 132 B5 (motor 132 M 4a)</t>
        </is>
      </c>
      <c r="U91" s="11" t="inlineStr">
        <is>
          <t>IEC B5 input flange 155 (or 156 PAM with coupling); İRAFM foot+flange version available</t>
        </is>
      </c>
      <c r="V91" s="11" t="inlineStr">
        <is>
          <t>IR 2024: ratings p.90; dims p.311-314</t>
        </is>
      </c>
      <c r="W91" s="11" t="inlineStr">
        <is>
          <t>Smallest housing with Sf ≥ 1.5 at 7.5 kW / 1400 rpm. Ratio deviation +3.0% vs 1:20. Larger alternatives: 93 (i=20.09, Sf=2.79). Quote both reducer-only and gearmotor lines (RFQ).</t>
        </is>
      </c>
      <c r="X91" s="13" t="inlineStr">
        <is>
          <t>IRFP 92 – IEC 132 B5</t>
        </is>
      </c>
      <c r="Y91" s="14" t="inlineStr">
        <is>
          <t>p.17 (IRP series, IEC B5/B14 flanged)</t>
        </is>
      </c>
      <c r="Z91" s="14" t="inlineStr">
        <is>
          <t>YES</t>
        </is>
      </c>
      <c r="AA91" s="15" t="n">
        <v>1502</v>
      </c>
      <c r="AB91" s="14" t="inlineStr">
        <is>
          <t>Gear unit with IEC input flange, solid output shaft, B5 output flange</t>
        </is>
      </c>
      <c r="AC91" s="16">
        <f>ROUND(AA91*(1-$L$2),2)</f>
        <v/>
      </c>
      <c r="AD91" s="17">
        <f>J91*AC91</f>
        <v/>
      </c>
      <c r="AE91" s="14" t="inlineStr">
        <is>
          <t>Complete gearmotor not priced here (IEC reducer requested); gearmotor prices are on price list pp.3-13 by kW/rpm</t>
        </is>
      </c>
      <c r="AF91" s="18" t="n"/>
    </row>
    <row r="92">
      <c r="A92" s="8" t="inlineStr">
        <is>
          <t>GB-088</t>
        </is>
      </c>
      <c r="B92" s="8" t="inlineStr">
        <is>
          <t>Helical Inline</t>
        </is>
      </c>
      <c r="C92" s="8" t="inlineStr">
        <is>
          <t>R / Equivalent</t>
        </is>
      </c>
      <c r="D92" s="8" t="inlineStr">
        <is>
          <t>Supplier selection</t>
        </is>
      </c>
      <c r="E92" s="8" t="n">
        <v>11</v>
      </c>
      <c r="F92" s="8" t="inlineStr">
        <is>
          <t>1:10</t>
        </is>
      </c>
      <c r="G92" s="8" t="inlineStr">
        <is>
          <t>B5 flange</t>
        </is>
      </c>
      <c r="H92" s="8" t="inlineStr">
        <is>
          <t>Solid output shaft</t>
        </is>
      </c>
      <c r="I92" s="8" t="inlineStr">
        <is>
          <t>IEC motor adaptor/input</t>
        </is>
      </c>
      <c r="J92" s="8" t="n">
        <v>1</v>
      </c>
      <c r="K92" s="9" t="inlineStr">
        <is>
          <t>İR (helical inline)</t>
        </is>
      </c>
      <c r="L92" s="10" t="inlineStr">
        <is>
          <t>İRFP 82  i=9.689  + IEC 160 B5 input (code 155)</t>
        </is>
      </c>
      <c r="M92" s="11" t="inlineStr">
        <is>
          <t>İRFM 82 / 160 M 4a</t>
        </is>
      </c>
      <c r="N92" s="12" t="n">
        <v>9.689</v>
      </c>
      <c r="O92" s="9" t="n">
        <v>144</v>
      </c>
      <c r="P92" s="9" t="n">
        <v>708</v>
      </c>
      <c r="Q92" s="11" t="inlineStr">
        <is>
          <t>Sf 1.69</t>
        </is>
      </c>
      <c r="R92" s="11" t="inlineStr">
        <is>
          <t>Gearmotor table, 4-pole motor, n1≈1400 rpm</t>
        </is>
      </c>
      <c r="S92" s="11" t="inlineStr">
        <is>
          <t>Solid output shaft, B5 output flange</t>
        </is>
      </c>
      <c r="T92" s="11" t="inlineStr">
        <is>
          <t>IEC 160 B5 (motor 160 M 4a)</t>
        </is>
      </c>
      <c r="U92" s="11" t="inlineStr">
        <is>
          <t>IEC B5 input flange 155 (or 156 PAM with coupling); İRAFM foot+flange version available</t>
        </is>
      </c>
      <c r="V92" s="11" t="inlineStr">
        <is>
          <t>IR 2024: ratings p.93; dims p.291-294</t>
        </is>
      </c>
      <c r="W92" s="11" t="inlineStr">
        <is>
          <t>Smallest housing with Sf ≥ 1.5 at 11 kW / 1400 rpm. Ratio deviation -3.1% vs 1:10. Larger alternatives: 92 (i=10.05, Sf=3.0). Quote both reducer-only and gearmotor lines (RFQ).</t>
        </is>
      </c>
      <c r="X92" s="13" t="inlineStr">
        <is>
          <t>IRFP 82 – IEC 160 B5 / B14</t>
        </is>
      </c>
      <c r="Y92" s="14" t="inlineStr">
        <is>
          <t>p.16 (IRP series, IEC B5/B14 flanged)</t>
        </is>
      </c>
      <c r="Z92" s="14" t="inlineStr">
        <is>
          <t>YES</t>
        </is>
      </c>
      <c r="AA92" s="15" t="n">
        <v>1227</v>
      </c>
      <c r="AB92" s="14" t="inlineStr">
        <is>
          <t>Gear unit with IEC input flange, solid output shaft, B5 output flange</t>
        </is>
      </c>
      <c r="AC92" s="16">
        <f>ROUND(AA92*(1-$L$2),2)</f>
        <v/>
      </c>
      <c r="AD92" s="17">
        <f>J92*AC92</f>
        <v/>
      </c>
      <c r="AE92" s="14" t="inlineStr">
        <is>
          <t>Complete gearmotor not priced here (IEC reducer requested); gearmotor prices are on price list pp.3-13 by kW/rpm</t>
        </is>
      </c>
      <c r="AF92" s="18" t="n"/>
    </row>
    <row r="93">
      <c r="A93" s="8" t="inlineStr">
        <is>
          <t>GB-089</t>
        </is>
      </c>
      <c r="B93" s="8" t="inlineStr">
        <is>
          <t>Helical Inline</t>
        </is>
      </c>
      <c r="C93" s="8" t="inlineStr">
        <is>
          <t>R / Equivalent</t>
        </is>
      </c>
      <c r="D93" s="8" t="inlineStr">
        <is>
          <t>Supplier selection</t>
        </is>
      </c>
      <c r="E93" s="8" t="n">
        <v>11</v>
      </c>
      <c r="F93" s="8" t="inlineStr">
        <is>
          <t>1:20</t>
        </is>
      </c>
      <c r="G93" s="8" t="inlineStr">
        <is>
          <t>B5 flange</t>
        </is>
      </c>
      <c r="H93" s="8" t="inlineStr">
        <is>
          <t>Solid output shaft</t>
        </is>
      </c>
      <c r="I93" s="8" t="inlineStr">
        <is>
          <t>IEC motor adaptor/input</t>
        </is>
      </c>
      <c r="J93" s="8" t="n">
        <v>1</v>
      </c>
      <c r="K93" s="9" t="inlineStr">
        <is>
          <t>İR (helical inline)</t>
        </is>
      </c>
      <c r="L93" s="10" t="inlineStr">
        <is>
          <t>İRFP 92  i=20.6  + IEC 160 B5 input (code 155)</t>
        </is>
      </c>
      <c r="M93" s="11" t="inlineStr">
        <is>
          <t>İRFM 92 / 160 M 4a</t>
        </is>
      </c>
      <c r="N93" s="12" t="n">
        <v>20.6</v>
      </c>
      <c r="O93" s="9" t="n">
        <v>67</v>
      </c>
      <c r="P93" s="9" t="n">
        <v>1521</v>
      </c>
      <c r="Q93" s="11" t="inlineStr">
        <is>
          <t>Sf 1.64</t>
        </is>
      </c>
      <c r="R93" s="11" t="inlineStr">
        <is>
          <t>Gearmotor table, 4-pole motor, n1≈1400 rpm</t>
        </is>
      </c>
      <c r="S93" s="11" t="inlineStr">
        <is>
          <t>Solid output shaft, B5 output flange</t>
        </is>
      </c>
      <c r="T93" s="11" t="inlineStr">
        <is>
          <t>IEC 160 B5 (motor 160 M 4a)</t>
        </is>
      </c>
      <c r="U93" s="11" t="inlineStr">
        <is>
          <t>IEC B5 input flange 155 (or 156 PAM with coupling); İRAFM foot+flange version available</t>
        </is>
      </c>
      <c r="V93" s="11" t="inlineStr">
        <is>
          <t>IR 2024: ratings p.93; dims p.311-314</t>
        </is>
      </c>
      <c r="W93" s="11" t="inlineStr">
        <is>
          <t>Smallest housing with Sf ≥ 1.5 at 11 kW / 1400 rpm. Ratio deviation +3.0% vs 1:20. Larger alternatives: 93 (i=20.09, Sf=1.9); 103 (i=20.31, Sf=2.86). Quote both reducer-only and gearmotor lines (RFQ).</t>
        </is>
      </c>
      <c r="X93" s="13" t="inlineStr">
        <is>
          <t>IRFP 92 – IEC 160 B5 / B14</t>
        </is>
      </c>
      <c r="Y93" s="14" t="inlineStr">
        <is>
          <t>p.17 (IRP series, IEC B5/B14 flanged)</t>
        </is>
      </c>
      <c r="Z93" s="14" t="inlineStr">
        <is>
          <t>YES</t>
        </is>
      </c>
      <c r="AA93" s="15" t="n">
        <v>1597</v>
      </c>
      <c r="AB93" s="14" t="inlineStr">
        <is>
          <t>Gear unit with IEC input flange, solid output shaft, B5 output flange</t>
        </is>
      </c>
      <c r="AC93" s="16">
        <f>ROUND(AA93*(1-$L$2),2)</f>
        <v/>
      </c>
      <c r="AD93" s="17">
        <f>J93*AC93</f>
        <v/>
      </c>
      <c r="AE93" s="14" t="inlineStr">
        <is>
          <t>Complete gearmotor not priced here (IEC reducer requested); gearmotor prices are on price list pp.3-13 by kW/rpm</t>
        </is>
      </c>
      <c r="AF93" s="18" t="n"/>
    </row>
    <row r="94">
      <c r="A94" s="8" t="inlineStr">
        <is>
          <t>GB-090</t>
        </is>
      </c>
      <c r="B94" s="8" t="inlineStr">
        <is>
          <t>Helical Inline</t>
        </is>
      </c>
      <c r="C94" s="8" t="inlineStr">
        <is>
          <t>R / Equivalent</t>
        </is>
      </c>
      <c r="D94" s="8" t="inlineStr">
        <is>
          <t>Supplier selection</t>
        </is>
      </c>
      <c r="E94" s="8" t="n">
        <v>15</v>
      </c>
      <c r="F94" s="8" t="inlineStr">
        <is>
          <t>1:20</t>
        </is>
      </c>
      <c r="G94" s="8" t="inlineStr">
        <is>
          <t>B5 flange</t>
        </is>
      </c>
      <c r="H94" s="8" t="inlineStr">
        <is>
          <t>Solid output shaft</t>
        </is>
      </c>
      <c r="I94" s="8" t="inlineStr">
        <is>
          <t>IEC motor adaptor/input</t>
        </is>
      </c>
      <c r="J94" s="8" t="n">
        <v>1</v>
      </c>
      <c r="K94" s="9" t="inlineStr">
        <is>
          <t>İR (helical inline)</t>
        </is>
      </c>
      <c r="L94" s="10" t="inlineStr">
        <is>
          <t>İRFP 103  i=20.31  + IEC 160 B5 input (code 155)</t>
        </is>
      </c>
      <c r="M94" s="11" t="inlineStr">
        <is>
          <t>İRFM 103 / 160 L 4a</t>
        </is>
      </c>
      <c r="N94" s="12" t="n">
        <v>20.31</v>
      </c>
      <c r="O94" s="9" t="n">
        <v>68</v>
      </c>
      <c r="P94" s="9" t="n">
        <v>2013</v>
      </c>
      <c r="Q94" s="11" t="inlineStr">
        <is>
          <t>Sf 2.1</t>
        </is>
      </c>
      <c r="R94" s="11" t="inlineStr">
        <is>
          <t>Gearmotor table, 4-pole motor, n1≈1400 rpm</t>
        </is>
      </c>
      <c r="S94" s="11" t="inlineStr">
        <is>
          <t>Solid output shaft, B5 output flange</t>
        </is>
      </c>
      <c r="T94" s="11" t="inlineStr">
        <is>
          <t>IEC 160 B5 (motor 160 L 4a)</t>
        </is>
      </c>
      <c r="U94" s="11" t="inlineStr">
        <is>
          <t>IEC B5 input flange 155 (or 156 PAM with coupling); İRAFM foot+flange version available</t>
        </is>
      </c>
      <c r="V94" s="11" t="inlineStr">
        <is>
          <t>IR 2024: ratings p.95; dims p.331-334</t>
        </is>
      </c>
      <c r="W94" s="11" t="inlineStr">
        <is>
          <t>Smallest housing with Sf ≥ 1.5 at 15 kW / 1400 rpm. Ratio deviation +1.5% vs 1:20. Larger alternatives: 122 (i=19.85, Sf=4.0). Quote both reducer-only and gearmotor lines (RFQ).</t>
        </is>
      </c>
      <c r="X94" s="13" t="inlineStr">
        <is>
          <t>IRFP 103 – IEC 160 B5 / B14</t>
        </is>
      </c>
      <c r="Y94" s="14" t="inlineStr">
        <is>
          <t>p.17 (IRP series, IEC B5/B14 flanged)</t>
        </is>
      </c>
      <c r="Z94" s="14" t="inlineStr">
        <is>
          <t>YES</t>
        </is>
      </c>
      <c r="AA94" s="15" t="n">
        <v>2225</v>
      </c>
      <c r="AB94" s="14" t="inlineStr">
        <is>
          <t>Gear unit with IEC input flange, solid output shaft, B5 output flange</t>
        </is>
      </c>
      <c r="AC94" s="16">
        <f>ROUND(AA94*(1-$L$2),2)</f>
        <v/>
      </c>
      <c r="AD94" s="17">
        <f>J94*AC94</f>
        <v/>
      </c>
      <c r="AE94" s="14" t="inlineStr">
        <is>
          <t>Complete gearmotor not priced here (IEC reducer requested); gearmotor prices are on price list pp.3-13 by kW/rpm</t>
        </is>
      </c>
      <c r="AF94" s="18" t="n"/>
    </row>
    <row r="95">
      <c r="A95" s="8" t="inlineStr">
        <is>
          <t>GB-091</t>
        </is>
      </c>
      <c r="B95" s="8" t="inlineStr">
        <is>
          <t>Helical Bevel</t>
        </is>
      </c>
      <c r="C95" s="8" t="inlineStr">
        <is>
          <t>K / Equivalent</t>
        </is>
      </c>
      <c r="D95" s="8" t="inlineStr">
        <is>
          <t>Supplier selection</t>
        </is>
      </c>
      <c r="E95" s="8" t="n">
        <v>0.75</v>
      </c>
      <c r="F95" s="8" t="inlineStr">
        <is>
          <t>1:10</t>
        </is>
      </c>
      <c r="G95" s="8" t="inlineStr">
        <is>
          <t>Torque-arm / universal</t>
        </is>
      </c>
      <c r="H95" s="8" t="inlineStr">
        <is>
          <t>Hollow shaft, keyed</t>
        </is>
      </c>
      <c r="I95" s="8" t="inlineStr">
        <is>
          <t>IEC motor adaptor/input</t>
        </is>
      </c>
      <c r="J95" s="8" t="n">
        <v>1</v>
      </c>
      <c r="K95" s="9" t="inlineStr">
        <is>
          <t>İRK (helical bevel)</t>
        </is>
      </c>
      <c r="L95" s="10" t="inlineStr">
        <is>
          <t>İRKP 63-TR  i=10.44  + IEC 80 B5</t>
        </is>
      </c>
      <c r="M95" s="11" t="inlineStr">
        <is>
          <t>İRKM 63 / 80 M 4b -TR</t>
        </is>
      </c>
      <c r="N95" s="12" t="n">
        <v>10.44</v>
      </c>
      <c r="O95" s="9" t="n">
        <v>134</v>
      </c>
      <c r="P95" s="9" t="n">
        <v>51</v>
      </c>
      <c r="Q95" s="11" t="inlineStr">
        <is>
          <t>Sf 5.4</t>
        </is>
      </c>
      <c r="R95" s="11" t="inlineStr">
        <is>
          <t>Gearmotor table, 4-pole motor, n1≈1400 rpm</t>
        </is>
      </c>
      <c r="S95" s="11" t="inlineStr">
        <is>
          <t>Hollow shaft, keyed</t>
        </is>
      </c>
      <c r="T95" s="11" t="inlineStr">
        <is>
          <t>IEC 80 B5 (motor 80 M 4b)</t>
        </is>
      </c>
      <c r="U95" s="11" t="inlineStr">
        <is>
          <t>TR/TL torque arm (include); SDL/SDR shrink disc; H retaining washer; OC output cover</t>
        </is>
      </c>
      <c r="V95" s="11" t="inlineStr">
        <is>
          <t>IRK 2024: ratings p.61; dims p.143-144</t>
        </is>
      </c>
      <c r="W95" s="11" t="inlineStr">
        <is>
          <t>Smallest housing with Sf ≥ 1.5 at 0.75 kW / 1400 rpm. Ratio deviation +4.4% vs 1:10.</t>
        </is>
      </c>
      <c r="X95" s="13" t="inlineStr">
        <is>
          <t>IRKP 63 – IEC 80 B5 / B14 + torque arm</t>
        </is>
      </c>
      <c r="Y95" s="14" t="inlineStr">
        <is>
          <t>p.31 (IRKP series) + p.30 (IRK options)</t>
        </is>
      </c>
      <c r="Z95" s="14" t="inlineStr">
        <is>
          <t>YES</t>
        </is>
      </c>
      <c r="AA95" s="15" t="n">
        <v>532</v>
      </c>
      <c r="AB95" s="14" t="inlineStr">
        <is>
          <t>IRKP gear unit €493.00 (hollow shaft) + torque arm €39.00</t>
        </is>
      </c>
      <c r="AC95" s="16">
        <f>ROUND(AA95*(1-$L$2),2)</f>
        <v/>
      </c>
      <c r="AD95" s="17">
        <f>J95*AC95</f>
        <v/>
      </c>
      <c r="AE95" s="14" t="inlineStr">
        <is>
          <t>Shrink disc €68.00 → €44.20 (p.1)</t>
        </is>
      </c>
      <c r="AF95" s="18" t="n"/>
    </row>
    <row r="96">
      <c r="A96" s="8" t="inlineStr">
        <is>
          <t>GB-092</t>
        </is>
      </c>
      <c r="B96" s="8" t="inlineStr">
        <is>
          <t>Helical Bevel</t>
        </is>
      </c>
      <c r="C96" s="8" t="inlineStr">
        <is>
          <t>K / Equivalent</t>
        </is>
      </c>
      <c r="D96" s="8" t="inlineStr">
        <is>
          <t>Supplier selection</t>
        </is>
      </c>
      <c r="E96" s="8" t="n">
        <v>0.75</v>
      </c>
      <c r="F96" s="8" t="inlineStr">
        <is>
          <t>1:15</t>
        </is>
      </c>
      <c r="G96" s="8" t="inlineStr">
        <is>
          <t>Torque-arm / universal</t>
        </is>
      </c>
      <c r="H96" s="8" t="inlineStr">
        <is>
          <t>Hollow shaft, keyed</t>
        </is>
      </c>
      <c r="I96" s="8" t="inlineStr">
        <is>
          <t>IEC motor adaptor/input</t>
        </is>
      </c>
      <c r="J96" s="8" t="n">
        <v>1</v>
      </c>
      <c r="K96" s="9" t="inlineStr">
        <is>
          <t>İRK (helical bevel)</t>
        </is>
      </c>
      <c r="L96" s="10" t="inlineStr">
        <is>
          <t>İRKP 42-TR  i=14.25  + IEC 80 B5</t>
        </is>
      </c>
      <c r="M96" s="11" t="inlineStr">
        <is>
          <t>İRKM 42 / 80 M 4b -TR</t>
        </is>
      </c>
      <c r="N96" s="12" t="n">
        <v>14.25</v>
      </c>
      <c r="O96" s="9" t="n">
        <v>98</v>
      </c>
      <c r="P96" s="9" t="n">
        <v>71</v>
      </c>
      <c r="Q96" s="11" t="inlineStr">
        <is>
          <t>Sf 2.9</t>
        </is>
      </c>
      <c r="R96" s="11" t="inlineStr">
        <is>
          <t>Gearmotor table, 4-pole motor, n1≈1400 rpm</t>
        </is>
      </c>
      <c r="S96" s="11" t="inlineStr">
        <is>
          <t>Hollow shaft, keyed (Ø30 std on 42/43)</t>
        </is>
      </c>
      <c r="T96" s="11" t="inlineStr">
        <is>
          <t>IEC 80 B5 (motor 80 M 4b)</t>
        </is>
      </c>
      <c r="U96" s="11" t="inlineStr">
        <is>
          <t>TR/TL torque arm (include); SDL/SDR shrink disc; H retaining washer; OC output cover</t>
        </is>
      </c>
      <c r="V96" s="11" t="inlineStr">
        <is>
          <t>IRK 2024: ratings p.62; dims p.139-140</t>
        </is>
      </c>
      <c r="W96" s="11" t="inlineStr">
        <is>
          <t>Smallest housing with Sf ≥ 1.5 at 0.75 kW / 1400 rpm. Ratio deviation -5.0% vs 1:15. Catalogue lists this ratio as PAM-flange version (IEC adaptor), which suits the RFQ input. Larger alternatives: 43 (i=15.73, Sf=3.4); 53 (i=15.73, Sf=3.4). Catalogue gives identical ratings for 42/52 and 43/53 (same dim. pages 139-140); smaller designation used.</t>
        </is>
      </c>
      <c r="X96" s="13" t="inlineStr">
        <is>
          <t>IRKP 42 – IEC 80 B5 / B14 + torque arm</t>
        </is>
      </c>
      <c r="Y96" s="14" t="inlineStr">
        <is>
          <t>p.31 (IRKP series) + p.30 (IRK options)</t>
        </is>
      </c>
      <c r="Z96" s="14" t="inlineStr">
        <is>
          <t>YES</t>
        </is>
      </c>
      <c r="AA96" s="15" t="n">
        <v>393</v>
      </c>
      <c r="AB96" s="14" t="inlineStr">
        <is>
          <t>IRKP gear unit €367.00 (hollow shaft) + torque arm €26.00</t>
        </is>
      </c>
      <c r="AC96" s="16">
        <f>ROUND(AA96*(1-$L$2),2)</f>
        <v/>
      </c>
      <c r="AD96" s="17">
        <f>J96*AC96</f>
        <v/>
      </c>
      <c r="AE96" s="14" t="inlineStr">
        <is>
          <t>Shrink disc €54.00 → €35.10 (p.1)</t>
        </is>
      </c>
      <c r="AF96" s="18" t="n"/>
    </row>
    <row r="97">
      <c r="A97" s="8" t="inlineStr">
        <is>
          <t>GB-093</t>
        </is>
      </c>
      <c r="B97" s="8" t="inlineStr">
        <is>
          <t>Helical Bevel</t>
        </is>
      </c>
      <c r="C97" s="8" t="inlineStr">
        <is>
          <t>K / Equivalent</t>
        </is>
      </c>
      <c r="D97" s="8" t="inlineStr">
        <is>
          <t>Supplier selection</t>
        </is>
      </c>
      <c r="E97" s="8" t="n">
        <v>0.75</v>
      </c>
      <c r="F97" s="8" t="inlineStr">
        <is>
          <t>1:20</t>
        </is>
      </c>
      <c r="G97" s="8" t="inlineStr">
        <is>
          <t>Torque-arm / universal</t>
        </is>
      </c>
      <c r="H97" s="8" t="inlineStr">
        <is>
          <t>Hollow shaft, keyed</t>
        </is>
      </c>
      <c r="I97" s="8" t="inlineStr">
        <is>
          <t>IEC motor adaptor/input</t>
        </is>
      </c>
      <c r="J97" s="8" t="n">
        <v>1</v>
      </c>
      <c r="K97" s="9" t="inlineStr">
        <is>
          <t>İRK (helical bevel)</t>
        </is>
      </c>
      <c r="L97" s="10" t="inlineStr">
        <is>
          <t>İRKP 43-TR  i=19.83  + IEC 80 B5</t>
        </is>
      </c>
      <c r="M97" s="11" t="inlineStr">
        <is>
          <t>İRKM 43 / 80 M 4b -TR</t>
        </is>
      </c>
      <c r="N97" s="12" t="n">
        <v>19.83</v>
      </c>
      <c r="O97" s="9" t="n">
        <v>71</v>
      </c>
      <c r="P97" s="9" t="n">
        <v>97</v>
      </c>
      <c r="Q97" s="11" t="inlineStr">
        <is>
          <t>Sf 2.7</t>
        </is>
      </c>
      <c r="R97" s="11" t="inlineStr">
        <is>
          <t>Gearmotor table, 4-pole motor, n1≈1400 rpm</t>
        </is>
      </c>
      <c r="S97" s="11" t="inlineStr">
        <is>
          <t>Hollow shaft, keyed (Ø30 std on 42/43)</t>
        </is>
      </c>
      <c r="T97" s="11" t="inlineStr">
        <is>
          <t>IEC 80 B5 (motor 80 M 4b)</t>
        </is>
      </c>
      <c r="U97" s="11" t="inlineStr">
        <is>
          <t>TR/TL torque arm (include); SDL/SDR shrink disc; H retaining washer; OC output cover</t>
        </is>
      </c>
      <c r="V97" s="11" t="inlineStr">
        <is>
          <t>IRK 2024: ratings p.62; dims p.139-140</t>
        </is>
      </c>
      <c r="W97" s="11" t="inlineStr">
        <is>
          <t>Smallest housing with Sf ≥ 1.5 at 0.75 kW / 1400 rpm. Ratio deviation -0.9% vs 1:20. Larger alternatives: 63 (i=19.11, Sf=4.1). Catalogue gives identical ratings for 42/52 and 43/53 (same dim. pages 139-140); smaller designation used.</t>
        </is>
      </c>
      <c r="X97" s="13" t="inlineStr">
        <is>
          <t>IRKP 43 – IEC 80 B5 / B14 + torque arm</t>
        </is>
      </c>
      <c r="Y97" s="14" t="inlineStr">
        <is>
          <t>p.31 (IRKP series) + p.30 (IRK options)</t>
        </is>
      </c>
      <c r="Z97" s="14" t="inlineStr">
        <is>
          <t>YES</t>
        </is>
      </c>
      <c r="AA97" s="15" t="n">
        <v>408</v>
      </c>
      <c r="AB97" s="14" t="inlineStr">
        <is>
          <t>IRKP gear unit €382.00 (hollow shaft) + torque arm €26.00</t>
        </is>
      </c>
      <c r="AC97" s="16">
        <f>ROUND(AA97*(1-$L$2),2)</f>
        <v/>
      </c>
      <c r="AD97" s="17">
        <f>J97*AC97</f>
        <v/>
      </c>
      <c r="AE97" s="14" t="inlineStr">
        <is>
          <t>Shrink disc €54.00 → €35.10 (p.1)</t>
        </is>
      </c>
      <c r="AF97" s="18" t="n"/>
    </row>
    <row r="98">
      <c r="A98" s="8" t="inlineStr">
        <is>
          <t>GB-094</t>
        </is>
      </c>
      <c r="B98" s="8" t="inlineStr">
        <is>
          <t>Helical Bevel</t>
        </is>
      </c>
      <c r="C98" s="8" t="inlineStr">
        <is>
          <t>K / Equivalent</t>
        </is>
      </c>
      <c r="D98" s="8" t="inlineStr">
        <is>
          <t>Supplier selection</t>
        </is>
      </c>
      <c r="E98" s="8" t="n">
        <v>0.75</v>
      </c>
      <c r="F98" s="8" t="inlineStr">
        <is>
          <t>1:30</t>
        </is>
      </c>
      <c r="G98" s="8" t="inlineStr">
        <is>
          <t>Torque-arm / universal</t>
        </is>
      </c>
      <c r="H98" s="8" t="inlineStr">
        <is>
          <t>Hollow shaft, keyed</t>
        </is>
      </c>
      <c r="I98" s="8" t="inlineStr">
        <is>
          <t>IEC motor adaptor/input</t>
        </is>
      </c>
      <c r="J98" s="8" t="n">
        <v>1</v>
      </c>
      <c r="K98" s="9" t="inlineStr">
        <is>
          <t>İRK (helical bevel)</t>
        </is>
      </c>
      <c r="L98" s="10" t="inlineStr">
        <is>
          <t>İRKP 43-TR  i=29.92  + IEC 80 B5</t>
        </is>
      </c>
      <c r="M98" s="11" t="inlineStr">
        <is>
          <t>İRKM 43 / 80 M 4b -TR</t>
        </is>
      </c>
      <c r="N98" s="12" t="n">
        <v>29.92</v>
      </c>
      <c r="O98" s="9" t="n">
        <v>47</v>
      </c>
      <c r="P98" s="9" t="n">
        <v>146</v>
      </c>
      <c r="Q98" s="11" t="inlineStr">
        <is>
          <t>Sf 1.69</t>
        </is>
      </c>
      <c r="R98" s="11" t="inlineStr">
        <is>
          <t>Gearmotor table, 4-pole motor, n1≈1400 rpm</t>
        </is>
      </c>
      <c r="S98" s="11" t="inlineStr">
        <is>
          <t>Hollow shaft, keyed (Ø30 std on 42/43)</t>
        </is>
      </c>
      <c r="T98" s="11" t="inlineStr">
        <is>
          <t>IEC 80 B5 (motor 80 M 4b)</t>
        </is>
      </c>
      <c r="U98" s="11" t="inlineStr">
        <is>
          <t>TR/TL torque arm (include); SDL/SDR shrink disc; H retaining washer; OC output cover</t>
        </is>
      </c>
      <c r="V98" s="11" t="inlineStr">
        <is>
          <t>IRK 2024: ratings p.62; dims p.139-140</t>
        </is>
      </c>
      <c r="W98" s="11" t="inlineStr">
        <is>
          <t>Smallest housing with Sf ≥ 1.5 at 0.75 kW / 1400 rpm. Ratio deviation -0.3% vs 1:30. Larger alternatives: 63 (i=30.93, Sf=2.6). Catalogue gives identical ratings for 42/52 and 43/53 (same dim. pages 139-140); smaller designation used.</t>
        </is>
      </c>
      <c r="X98" s="13" t="inlineStr">
        <is>
          <t>IRKP 43 – IEC 80 B5 / B14 + torque arm</t>
        </is>
      </c>
      <c r="Y98" s="14" t="inlineStr">
        <is>
          <t>p.31 (IRKP series) + p.30 (IRK options)</t>
        </is>
      </c>
      <c r="Z98" s="14" t="inlineStr">
        <is>
          <t>YES</t>
        </is>
      </c>
      <c r="AA98" s="15" t="n">
        <v>408</v>
      </c>
      <c r="AB98" s="14" t="inlineStr">
        <is>
          <t>IRKP gear unit €382.00 (hollow shaft) + torque arm €26.00</t>
        </is>
      </c>
      <c r="AC98" s="16">
        <f>ROUND(AA98*(1-$L$2),2)</f>
        <v/>
      </c>
      <c r="AD98" s="17">
        <f>J98*AC98</f>
        <v/>
      </c>
      <c r="AE98" s="14" t="inlineStr">
        <is>
          <t>Shrink disc €54.00 → €35.10 (p.1)</t>
        </is>
      </c>
      <c r="AF98" s="18" t="n"/>
    </row>
    <row r="99">
      <c r="A99" s="8" t="inlineStr">
        <is>
          <t>GB-095</t>
        </is>
      </c>
      <c r="B99" s="8" t="inlineStr">
        <is>
          <t>Helical Bevel</t>
        </is>
      </c>
      <c r="C99" s="8" t="inlineStr">
        <is>
          <t>K / Equivalent</t>
        </is>
      </c>
      <c r="D99" s="8" t="inlineStr">
        <is>
          <t>Supplier selection</t>
        </is>
      </c>
      <c r="E99" s="8" t="n">
        <v>1.1</v>
      </c>
      <c r="F99" s="8" t="inlineStr">
        <is>
          <t>1:10</t>
        </is>
      </c>
      <c r="G99" s="8" t="inlineStr">
        <is>
          <t>Torque-arm / universal</t>
        </is>
      </c>
      <c r="H99" s="8" t="inlineStr">
        <is>
          <t>Hollow shaft, keyed</t>
        </is>
      </c>
      <c r="I99" s="8" t="inlineStr">
        <is>
          <t>IEC motor adaptor/input</t>
        </is>
      </c>
      <c r="J99" s="8" t="n">
        <v>1</v>
      </c>
      <c r="K99" s="9" t="inlineStr">
        <is>
          <t>İRK (helical bevel)</t>
        </is>
      </c>
      <c r="L99" s="10" t="inlineStr">
        <is>
          <t>İRKP 63-TR  i=10.44  + IEC 90 B5</t>
        </is>
      </c>
      <c r="M99" s="11" t="inlineStr">
        <is>
          <t>İRKM 63 / 90 S 4a -TR</t>
        </is>
      </c>
      <c r="N99" s="12" t="n">
        <v>10.44</v>
      </c>
      <c r="O99" s="9" t="n">
        <v>134</v>
      </c>
      <c r="P99" s="9" t="n">
        <v>75</v>
      </c>
      <c r="Q99" s="11" t="inlineStr">
        <is>
          <t>Sf 3.7</t>
        </is>
      </c>
      <c r="R99" s="11" t="inlineStr">
        <is>
          <t>Gearmotor table, 4-pole motor, n1≈1400 rpm</t>
        </is>
      </c>
      <c r="S99" s="11" t="inlineStr">
        <is>
          <t>Hollow shaft, keyed</t>
        </is>
      </c>
      <c r="T99" s="11" t="inlineStr">
        <is>
          <t>IEC 90 B5 (motor 90 S 4a)</t>
        </is>
      </c>
      <c r="U99" s="11" t="inlineStr">
        <is>
          <t>TR/TL torque arm (include); SDL/SDR shrink disc; H retaining washer; OC output cover</t>
        </is>
      </c>
      <c r="V99" s="11" t="inlineStr">
        <is>
          <t>IRK 2024: ratings p.65; dims p.143-144</t>
        </is>
      </c>
      <c r="W99" s="11" t="inlineStr">
        <is>
          <t>Smallest housing with Sf ≥ 1.5 at 1.1 kW / 1400 rpm. Ratio deviation +4.4% vs 1:10.</t>
        </is>
      </c>
      <c r="X99" s="13" t="inlineStr">
        <is>
          <t>IRKP 63 – IEC 90 B5 / B14 + torque arm</t>
        </is>
      </c>
      <c r="Y99" s="14" t="inlineStr">
        <is>
          <t>p.31 (IRKP series) + p.30 (IRK options)</t>
        </is>
      </c>
      <c r="Z99" s="14" t="inlineStr">
        <is>
          <t>YES</t>
        </is>
      </c>
      <c r="AA99" s="15" t="n">
        <v>532</v>
      </c>
      <c r="AB99" s="14" t="inlineStr">
        <is>
          <t>IRKP gear unit €493.00 (hollow shaft) + torque arm €39.00</t>
        </is>
      </c>
      <c r="AC99" s="16">
        <f>ROUND(AA99*(1-$L$2),2)</f>
        <v/>
      </c>
      <c r="AD99" s="17">
        <f>J99*AC99</f>
        <v/>
      </c>
      <c r="AE99" s="14" t="inlineStr">
        <is>
          <t>Shrink disc €68.00 → €44.20 (p.1)</t>
        </is>
      </c>
      <c r="AF99" s="18" t="n"/>
    </row>
    <row r="100">
      <c r="A100" s="8" t="inlineStr">
        <is>
          <t>GB-096</t>
        </is>
      </c>
      <c r="B100" s="8" t="inlineStr">
        <is>
          <t>Helical Bevel</t>
        </is>
      </c>
      <c r="C100" s="8" t="inlineStr">
        <is>
          <t>K / Equivalent</t>
        </is>
      </c>
      <c r="D100" s="8" t="inlineStr">
        <is>
          <t>Supplier selection</t>
        </is>
      </c>
      <c r="E100" s="8" t="n">
        <v>1.1</v>
      </c>
      <c r="F100" s="8" t="inlineStr">
        <is>
          <t>1:20</t>
        </is>
      </c>
      <c r="G100" s="8" t="inlineStr">
        <is>
          <t>Torque-arm / universal</t>
        </is>
      </c>
      <c r="H100" s="8" t="inlineStr">
        <is>
          <t>Hollow shaft, keyed</t>
        </is>
      </c>
      <c r="I100" s="8" t="inlineStr">
        <is>
          <t>IEC motor adaptor/input</t>
        </is>
      </c>
      <c r="J100" s="8" t="n">
        <v>1</v>
      </c>
      <c r="K100" s="9" t="inlineStr">
        <is>
          <t>İRK (helical bevel)</t>
        </is>
      </c>
      <c r="L100" s="10" t="inlineStr">
        <is>
          <t>İRKP 43-TR  i=19.83  + IEC 90 B5</t>
        </is>
      </c>
      <c r="M100" s="11" t="inlineStr">
        <is>
          <t>İRKM 43 / 90 S 4a -TR</t>
        </is>
      </c>
      <c r="N100" s="12" t="n">
        <v>19.83</v>
      </c>
      <c r="O100" s="9" t="n">
        <v>71</v>
      </c>
      <c r="P100" s="9" t="n">
        <v>142</v>
      </c>
      <c r="Q100" s="11" t="inlineStr">
        <is>
          <t>Sf 1.85</t>
        </is>
      </c>
      <c r="R100" s="11" t="inlineStr">
        <is>
          <t>Gearmotor table, 4-pole motor, n1≈1400 rpm</t>
        </is>
      </c>
      <c r="S100" s="11" t="inlineStr">
        <is>
          <t>Hollow shaft, keyed (Ø30 std on 42/43)</t>
        </is>
      </c>
      <c r="T100" s="11" t="inlineStr">
        <is>
          <t>IEC 90 B5 (motor 90 S 4a)</t>
        </is>
      </c>
      <c r="U100" s="11" t="inlineStr">
        <is>
          <t>TR/TL torque arm (include); SDL/SDR shrink disc; H retaining washer; OC output cover</t>
        </is>
      </c>
      <c r="V100" s="11" t="inlineStr">
        <is>
          <t>IRK 2024: ratings p.66; dims p.139-140</t>
        </is>
      </c>
      <c r="W100" s="11" t="inlineStr">
        <is>
          <t>Smallest housing with Sf ≥ 1.5 at 1.1 kW / 1400 rpm. Ratio deviation -0.9% vs 1:20. Larger alternatives: 63 (i=19.11, Sf=2.8). Catalogue gives identical ratings for 42/52 and 43/53 (same dim. pages 139-140); smaller designation used.</t>
        </is>
      </c>
      <c r="X100" s="13" t="inlineStr">
        <is>
          <t>IRKP 43 – IEC 90 B5 / B14 + torque arm</t>
        </is>
      </c>
      <c r="Y100" s="14" t="inlineStr">
        <is>
          <t>p.31 (IRKP series) + p.30 (IRK options)</t>
        </is>
      </c>
      <c r="Z100" s="14" t="inlineStr">
        <is>
          <t>YES</t>
        </is>
      </c>
      <c r="AA100" s="15" t="n">
        <v>408</v>
      </c>
      <c r="AB100" s="14" t="inlineStr">
        <is>
          <t>IRKP gear unit €382.00 (hollow shaft) + torque arm €26.00</t>
        </is>
      </c>
      <c r="AC100" s="16">
        <f>ROUND(AA100*(1-$L$2),2)</f>
        <v/>
      </c>
      <c r="AD100" s="17">
        <f>J100*AC100</f>
        <v/>
      </c>
      <c r="AE100" s="14" t="inlineStr">
        <is>
          <t>Shrink disc €54.00 → €35.10 (p.1)</t>
        </is>
      </c>
      <c r="AF100" s="18" t="n"/>
    </row>
    <row r="101">
      <c r="A101" s="8" t="inlineStr">
        <is>
          <t>GB-097</t>
        </is>
      </c>
      <c r="B101" s="8" t="inlineStr">
        <is>
          <t>Helical Bevel</t>
        </is>
      </c>
      <c r="C101" s="8" t="inlineStr">
        <is>
          <t>K / Equivalent</t>
        </is>
      </c>
      <c r="D101" s="8" t="inlineStr">
        <is>
          <t>Supplier selection</t>
        </is>
      </c>
      <c r="E101" s="8" t="n">
        <v>1.1</v>
      </c>
      <c r="F101" s="8" t="inlineStr">
        <is>
          <t>1:30</t>
        </is>
      </c>
      <c r="G101" s="8" t="inlineStr">
        <is>
          <t>Torque-arm / universal</t>
        </is>
      </c>
      <c r="H101" s="8" t="inlineStr">
        <is>
          <t>Hollow shaft, keyed</t>
        </is>
      </c>
      <c r="I101" s="8" t="inlineStr">
        <is>
          <t>IEC motor adaptor/input</t>
        </is>
      </c>
      <c r="J101" s="8" t="n">
        <v>1</v>
      </c>
      <c r="K101" s="9" t="inlineStr">
        <is>
          <t>İRK (helical bevel)</t>
        </is>
      </c>
      <c r="L101" s="10" t="inlineStr">
        <is>
          <t>İRKP 63-TR  i=30.93  + IEC 90 B5</t>
        </is>
      </c>
      <c r="M101" s="11" t="inlineStr">
        <is>
          <t>İRKM 63 / 90 S 4a -TR</t>
        </is>
      </c>
      <c r="N101" s="12" t="n">
        <v>30.93</v>
      </c>
      <c r="O101" s="9" t="n">
        <v>45</v>
      </c>
      <c r="P101" s="9" t="n">
        <v>222</v>
      </c>
      <c r="Q101" s="11" t="inlineStr">
        <is>
          <t>Sf 1.8</t>
        </is>
      </c>
      <c r="R101" s="11" t="inlineStr">
        <is>
          <t>Gearmotor table, 4-pole motor, n1≈1400 rpm</t>
        </is>
      </c>
      <c r="S101" s="11" t="inlineStr">
        <is>
          <t>Hollow shaft, keyed</t>
        </is>
      </c>
      <c r="T101" s="11" t="inlineStr">
        <is>
          <t>IEC 90 B5 (motor 90 S 4a)</t>
        </is>
      </c>
      <c r="U101" s="11" t="inlineStr">
        <is>
          <t>TR/TL torque arm (include); SDL/SDR shrink disc; H retaining washer; OC output cover</t>
        </is>
      </c>
      <c r="V101" s="11" t="inlineStr">
        <is>
          <t>IRK 2024: ratings p.65; dims p.143-144</t>
        </is>
      </c>
      <c r="W101" s="11" t="inlineStr">
        <is>
          <t>Smallest housing with Sf ≥ 1.5 at 1.1 kW / 1400 rpm. Ratio deviation +3.1% vs 1:30.</t>
        </is>
      </c>
      <c r="X101" s="13" t="inlineStr">
        <is>
          <t>IRKP 63 – IEC 90 B5 / B14 + torque arm</t>
        </is>
      </c>
      <c r="Y101" s="14" t="inlineStr">
        <is>
          <t>p.31 (IRKP series) + p.30 (IRK options)</t>
        </is>
      </c>
      <c r="Z101" s="14" t="inlineStr">
        <is>
          <t>YES</t>
        </is>
      </c>
      <c r="AA101" s="15" t="n">
        <v>532</v>
      </c>
      <c r="AB101" s="14" t="inlineStr">
        <is>
          <t>IRKP gear unit €493.00 (hollow shaft) + torque arm €39.00</t>
        </is>
      </c>
      <c r="AC101" s="16">
        <f>ROUND(AA101*(1-$L$2),2)</f>
        <v/>
      </c>
      <c r="AD101" s="17">
        <f>J101*AC101</f>
        <v/>
      </c>
      <c r="AE101" s="14" t="inlineStr">
        <is>
          <t>Shrink disc €68.00 → €44.20 (p.1)</t>
        </is>
      </c>
      <c r="AF101" s="18" t="n"/>
    </row>
    <row r="102">
      <c r="A102" s="8" t="inlineStr">
        <is>
          <t>GB-098</t>
        </is>
      </c>
      <c r="B102" s="8" t="inlineStr">
        <is>
          <t>Helical Bevel</t>
        </is>
      </c>
      <c r="C102" s="8" t="inlineStr">
        <is>
          <t>K / Equivalent</t>
        </is>
      </c>
      <c r="D102" s="8" t="inlineStr">
        <is>
          <t>Supplier selection</t>
        </is>
      </c>
      <c r="E102" s="8" t="n">
        <v>1.1</v>
      </c>
      <c r="F102" s="8" t="inlineStr">
        <is>
          <t>1:40</t>
        </is>
      </c>
      <c r="G102" s="8" t="inlineStr">
        <is>
          <t>Torque-arm / universal</t>
        </is>
      </c>
      <c r="H102" s="8" t="inlineStr">
        <is>
          <t>Hollow shaft, keyed</t>
        </is>
      </c>
      <c r="I102" s="8" t="inlineStr">
        <is>
          <t>IEC motor adaptor/input</t>
        </is>
      </c>
      <c r="J102" s="8" t="n">
        <v>1</v>
      </c>
      <c r="K102" s="9" t="inlineStr">
        <is>
          <t>İRK (helical bevel)</t>
        </is>
      </c>
      <c r="L102" s="10" t="inlineStr">
        <is>
          <t>İRKP 73-TR  i=42.21  + IEC 90 B5</t>
        </is>
      </c>
      <c r="M102" s="11" t="inlineStr">
        <is>
          <t>İRKM 73 / 90 S 4a -TR</t>
        </is>
      </c>
      <c r="N102" s="12" t="n">
        <v>42.21</v>
      </c>
      <c r="O102" s="9" t="n">
        <v>33</v>
      </c>
      <c r="P102" s="9" t="n">
        <v>303</v>
      </c>
      <c r="Q102" s="11" t="inlineStr">
        <is>
          <t>Sf 2.7</t>
        </is>
      </c>
      <c r="R102" s="11" t="inlineStr">
        <is>
          <t>Gearmotor table, 4-pole motor, n1≈1400 rpm</t>
        </is>
      </c>
      <c r="S102" s="11" t="inlineStr">
        <is>
          <t>Hollow shaft, keyed</t>
        </is>
      </c>
      <c r="T102" s="11" t="inlineStr">
        <is>
          <t>IEC 90 B5 (motor 90 S 4a)</t>
        </is>
      </c>
      <c r="U102" s="11" t="inlineStr">
        <is>
          <t>TR/TL torque arm (include); SDL/SDR shrink disc; H retaining washer; OC output cover</t>
        </is>
      </c>
      <c r="V102" s="11" t="inlineStr">
        <is>
          <t>IRK 2024: ratings p.65; dims p.147-148</t>
        </is>
      </c>
      <c r="W102" s="11" t="inlineStr">
        <is>
          <t>Smallest housing with Sf ≥ 1.5 at 1.1 kW / 1400 rpm. Ratio deviation +5.5% vs 1:40.</t>
        </is>
      </c>
      <c r="X102" s="13" t="inlineStr">
        <is>
          <t>IRKP 73 – IEC 90 B5 / B14 + torque arm</t>
        </is>
      </c>
      <c r="Y102" s="14" t="inlineStr">
        <is>
          <t>p.31 (IRKP series) + p.30 (IRK options)</t>
        </is>
      </c>
      <c r="Z102" s="14" t="inlineStr">
        <is>
          <t>YES</t>
        </is>
      </c>
      <c r="AA102" s="15" t="n">
        <v>839</v>
      </c>
      <c r="AB102" s="14" t="inlineStr">
        <is>
          <t>IRKP gear unit €786.00 (hollow shaft) + torque arm €53.00</t>
        </is>
      </c>
      <c r="AC102" s="16">
        <f>ROUND(AA102*(1-$L$2),2)</f>
        <v/>
      </c>
      <c r="AD102" s="17">
        <f>J102*AC102</f>
        <v/>
      </c>
      <c r="AE102" s="14" t="inlineStr">
        <is>
          <t>Shrink disc €103.00 → €66.95 (p.1)</t>
        </is>
      </c>
      <c r="AF102" s="18" t="n"/>
    </row>
    <row r="103">
      <c r="A103" s="8" t="inlineStr">
        <is>
          <t>GB-099</t>
        </is>
      </c>
      <c r="B103" s="8" t="inlineStr">
        <is>
          <t>Helical Bevel</t>
        </is>
      </c>
      <c r="C103" s="8" t="inlineStr">
        <is>
          <t>K / Equivalent</t>
        </is>
      </c>
      <c r="D103" s="8" t="inlineStr">
        <is>
          <t>Supplier selection</t>
        </is>
      </c>
      <c r="E103" s="8" t="n">
        <v>1.5</v>
      </c>
      <c r="F103" s="8" t="inlineStr">
        <is>
          <t>1:10</t>
        </is>
      </c>
      <c r="G103" s="8" t="inlineStr">
        <is>
          <t>Torque-arm / universal</t>
        </is>
      </c>
      <c r="H103" s="8" t="inlineStr">
        <is>
          <t>Hollow shaft, keyed</t>
        </is>
      </c>
      <c r="I103" s="8" t="inlineStr">
        <is>
          <t>IEC motor adaptor/input</t>
        </is>
      </c>
      <c r="J103" s="8" t="n">
        <v>1</v>
      </c>
      <c r="K103" s="9" t="inlineStr">
        <is>
          <t>İRK (helical bevel)</t>
        </is>
      </c>
      <c r="L103" s="10" t="inlineStr">
        <is>
          <t>İRKP 63-TR  i=10.44  + IEC 90 B5</t>
        </is>
      </c>
      <c r="M103" s="11" t="inlineStr">
        <is>
          <t>İRKM 63 / 90 L 4a -TR</t>
        </is>
      </c>
      <c r="N103" s="12" t="n">
        <v>10.44</v>
      </c>
      <c r="O103" s="9" t="n">
        <v>134</v>
      </c>
      <c r="P103" s="9" t="n">
        <v>102</v>
      </c>
      <c r="Q103" s="11" t="inlineStr">
        <is>
          <t>Sf 2.7</t>
        </is>
      </c>
      <c r="R103" s="11" t="inlineStr">
        <is>
          <t>Gearmotor table, 4-pole motor, n1≈1400 rpm</t>
        </is>
      </c>
      <c r="S103" s="11" t="inlineStr">
        <is>
          <t>Hollow shaft, keyed</t>
        </is>
      </c>
      <c r="T103" s="11" t="inlineStr">
        <is>
          <t>IEC 90 B5 (motor 90 L 4a)</t>
        </is>
      </c>
      <c r="U103" s="11" t="inlineStr">
        <is>
          <t>TR/TL torque arm (include); SDL/SDR shrink disc; H retaining washer; OC output cover</t>
        </is>
      </c>
      <c r="V103" s="11" t="inlineStr">
        <is>
          <t>IRK 2024: ratings p.69; dims p.143-144</t>
        </is>
      </c>
      <c r="W103" s="11" t="inlineStr">
        <is>
          <t>Smallest housing with Sf ≥ 1.5 at 1.5 kW / 1400 rpm. Ratio deviation +4.4% vs 1:10. Larger alternatives: 73 (i=10.38, Sf=5.1).</t>
        </is>
      </c>
      <c r="X103" s="13" t="inlineStr">
        <is>
          <t>IRKP 63 – IEC 90 B5 / B14 + torque arm</t>
        </is>
      </c>
      <c r="Y103" s="14" t="inlineStr">
        <is>
          <t>p.31 (IRKP series) + p.30 (IRK options)</t>
        </is>
      </c>
      <c r="Z103" s="14" t="inlineStr">
        <is>
          <t>YES</t>
        </is>
      </c>
      <c r="AA103" s="15" t="n">
        <v>532</v>
      </c>
      <c r="AB103" s="14" t="inlineStr">
        <is>
          <t>IRKP gear unit €493.00 (hollow shaft) + torque arm €39.00</t>
        </is>
      </c>
      <c r="AC103" s="16">
        <f>ROUND(AA103*(1-$L$2),2)</f>
        <v/>
      </c>
      <c r="AD103" s="17">
        <f>J103*AC103</f>
        <v/>
      </c>
      <c r="AE103" s="14" t="inlineStr">
        <is>
          <t>Shrink disc €68.00 → €44.20 (p.1)</t>
        </is>
      </c>
      <c r="AF103" s="18" t="n"/>
    </row>
    <row r="104">
      <c r="A104" s="8" t="inlineStr">
        <is>
          <t>GB-100</t>
        </is>
      </c>
      <c r="B104" s="8" t="inlineStr">
        <is>
          <t>Helical Bevel</t>
        </is>
      </c>
      <c r="C104" s="8" t="inlineStr">
        <is>
          <t>K / Equivalent</t>
        </is>
      </c>
      <c r="D104" s="8" t="inlineStr">
        <is>
          <t>Supplier selection</t>
        </is>
      </c>
      <c r="E104" s="8" t="n">
        <v>1.5</v>
      </c>
      <c r="F104" s="8" t="inlineStr">
        <is>
          <t>1:15</t>
        </is>
      </c>
      <c r="G104" s="8" t="inlineStr">
        <is>
          <t>Torque-arm / universal</t>
        </is>
      </c>
      <c r="H104" s="8" t="inlineStr">
        <is>
          <t>Hollow shaft, keyed</t>
        </is>
      </c>
      <c r="I104" s="8" t="inlineStr">
        <is>
          <t>IEC motor adaptor/input</t>
        </is>
      </c>
      <c r="J104" s="8" t="n">
        <v>1</v>
      </c>
      <c r="K104" s="9" t="inlineStr">
        <is>
          <t>İRK (helical bevel)</t>
        </is>
      </c>
      <c r="L104" s="10" t="inlineStr">
        <is>
          <t>İRKP 43-TR  i=15.73  + IEC 90 B5</t>
        </is>
      </c>
      <c r="M104" s="11" t="inlineStr">
        <is>
          <t>İRKM 43 / 90 L 4a -TR</t>
        </is>
      </c>
      <c r="N104" s="12" t="n">
        <v>15.73</v>
      </c>
      <c r="O104" s="9" t="n">
        <v>89</v>
      </c>
      <c r="P104" s="9" t="n">
        <v>154</v>
      </c>
      <c r="Q104" s="11" t="inlineStr">
        <is>
          <t>Sf 1.72</t>
        </is>
      </c>
      <c r="R104" s="11" t="inlineStr">
        <is>
          <t>Gearmotor table, 4-pole motor, n1≈1400 rpm</t>
        </is>
      </c>
      <c r="S104" s="11" t="inlineStr">
        <is>
          <t>Hollow shaft, keyed (Ø30 std on 42/43)</t>
        </is>
      </c>
      <c r="T104" s="11" t="inlineStr">
        <is>
          <t>IEC 90 B5 (motor 90 L 4a)</t>
        </is>
      </c>
      <c r="U104" s="11" t="inlineStr">
        <is>
          <t>TR/TL torque arm (include); SDL/SDR shrink disc; H retaining washer; OC output cover</t>
        </is>
      </c>
      <c r="V104" s="11" t="inlineStr">
        <is>
          <t>IRK 2024: ratings p.70; dims p.139-140</t>
        </is>
      </c>
      <c r="W104" s="11" t="inlineStr">
        <is>
          <t>Smallest housing with Sf ≥ 1.5 at 1.5 kW / 1400 rpm. Ratio deviation +4.9% vs 1:15. Larger alternatives: 63 (i=15.04, Sf=2.4); 73 (i=15.53, Sf=4.4). Catalogue gives identical ratings for 42/52 and 43/53 (same dim. pages 139-140); smaller designation used.</t>
        </is>
      </c>
      <c r="X104" s="13" t="inlineStr">
        <is>
          <t>IRKP 43 – IEC 90 B5 / B14 + torque arm</t>
        </is>
      </c>
      <c r="Y104" s="14" t="inlineStr">
        <is>
          <t>p.31 (IRKP series) + p.30 (IRK options)</t>
        </is>
      </c>
      <c r="Z104" s="14" t="inlineStr">
        <is>
          <t>YES</t>
        </is>
      </c>
      <c r="AA104" s="15" t="n">
        <v>408</v>
      </c>
      <c r="AB104" s="14" t="inlineStr">
        <is>
          <t>IRKP gear unit €382.00 (hollow shaft) + torque arm €26.00</t>
        </is>
      </c>
      <c r="AC104" s="16">
        <f>ROUND(AA104*(1-$L$2),2)</f>
        <v/>
      </c>
      <c r="AD104" s="17">
        <f>J104*AC104</f>
        <v/>
      </c>
      <c r="AE104" s="14" t="inlineStr">
        <is>
          <t>Shrink disc €54.00 → €35.10 (p.1)</t>
        </is>
      </c>
      <c r="AF104" s="18" t="n"/>
    </row>
    <row r="105">
      <c r="A105" s="8" t="inlineStr">
        <is>
          <t>GB-101</t>
        </is>
      </c>
      <c r="B105" s="8" t="inlineStr">
        <is>
          <t>Helical Bevel</t>
        </is>
      </c>
      <c r="C105" s="8" t="inlineStr">
        <is>
          <t>K / Equivalent</t>
        </is>
      </c>
      <c r="D105" s="8" t="inlineStr">
        <is>
          <t>Supplier selection</t>
        </is>
      </c>
      <c r="E105" s="8" t="n">
        <v>1.5</v>
      </c>
      <c r="F105" s="8" t="inlineStr">
        <is>
          <t>1:20</t>
        </is>
      </c>
      <c r="G105" s="8" t="inlineStr">
        <is>
          <t>Torque-arm / universal</t>
        </is>
      </c>
      <c r="H105" s="8" t="inlineStr">
        <is>
          <t>Hollow shaft, keyed</t>
        </is>
      </c>
      <c r="I105" s="8" t="inlineStr">
        <is>
          <t>IEC motor adaptor/input</t>
        </is>
      </c>
      <c r="J105" s="8" t="n">
        <v>1</v>
      </c>
      <c r="K105" s="9" t="inlineStr">
        <is>
          <t>İRK (helical bevel)</t>
        </is>
      </c>
      <c r="L105" s="10" t="inlineStr">
        <is>
          <t>İRKP 63-TR  i=19.11  + IEC 90 B5</t>
        </is>
      </c>
      <c r="M105" s="11" t="inlineStr">
        <is>
          <t>İRKM 63 / 90 L 4a -TR</t>
        </is>
      </c>
      <c r="N105" s="12" t="n">
        <v>19.11</v>
      </c>
      <c r="O105" s="9" t="n">
        <v>73</v>
      </c>
      <c r="P105" s="9" t="n">
        <v>187</v>
      </c>
      <c r="Q105" s="11" t="inlineStr">
        <is>
          <t>Sf 2.0</t>
        </is>
      </c>
      <c r="R105" s="11" t="inlineStr">
        <is>
          <t>Gearmotor table, 4-pole motor, n1≈1400 rpm</t>
        </is>
      </c>
      <c r="S105" s="11" t="inlineStr">
        <is>
          <t>Hollow shaft, keyed</t>
        </is>
      </c>
      <c r="T105" s="11" t="inlineStr">
        <is>
          <t>IEC 90 B5 (motor 90 L 4a)</t>
        </is>
      </c>
      <c r="U105" s="11" t="inlineStr">
        <is>
          <t>TR/TL torque arm (include); SDL/SDR shrink disc; H retaining washer; OC output cover</t>
        </is>
      </c>
      <c r="V105" s="11" t="inlineStr">
        <is>
          <t>IRK 2024: ratings p.69; dims p.143-144</t>
        </is>
      </c>
      <c r="W105" s="11" t="inlineStr">
        <is>
          <t>Smallest housing with Sf ≥ 1.5 at 1.5 kW / 1400 rpm. Ratio deviation -4.5% vs 1:20. Larger alternatives: 73 (i=19.51, Sf=3.9).</t>
        </is>
      </c>
      <c r="X105" s="13" t="inlineStr">
        <is>
          <t>IRKP 63 – IEC 90 B5 / B14 + torque arm</t>
        </is>
      </c>
      <c r="Y105" s="14" t="inlineStr">
        <is>
          <t>p.31 (IRKP series) + p.30 (IRK options)</t>
        </is>
      </c>
      <c r="Z105" s="14" t="inlineStr">
        <is>
          <t>YES</t>
        </is>
      </c>
      <c r="AA105" s="15" t="n">
        <v>532</v>
      </c>
      <c r="AB105" s="14" t="inlineStr">
        <is>
          <t>IRKP gear unit €493.00 (hollow shaft) + torque arm €39.00</t>
        </is>
      </c>
      <c r="AC105" s="16">
        <f>ROUND(AA105*(1-$L$2),2)</f>
        <v/>
      </c>
      <c r="AD105" s="17">
        <f>J105*AC105</f>
        <v/>
      </c>
      <c r="AE105" s="14" t="inlineStr">
        <is>
          <t>Shrink disc €68.00 → €44.20 (p.1)</t>
        </is>
      </c>
      <c r="AF105" s="18" t="n"/>
    </row>
    <row r="106">
      <c r="A106" s="8" t="inlineStr">
        <is>
          <t>GB-102</t>
        </is>
      </c>
      <c r="B106" s="8" t="inlineStr">
        <is>
          <t>Helical Bevel</t>
        </is>
      </c>
      <c r="C106" s="8" t="inlineStr">
        <is>
          <t>K / Equivalent</t>
        </is>
      </c>
      <c r="D106" s="8" t="inlineStr">
        <is>
          <t>Supplier selection</t>
        </is>
      </c>
      <c r="E106" s="8" t="n">
        <v>1.5</v>
      </c>
      <c r="F106" s="8" t="inlineStr">
        <is>
          <t>1:30</t>
        </is>
      </c>
      <c r="G106" s="8" t="inlineStr">
        <is>
          <t>Torque-arm / universal</t>
        </is>
      </c>
      <c r="H106" s="8" t="inlineStr">
        <is>
          <t>Hollow shaft, keyed</t>
        </is>
      </c>
      <c r="I106" s="8" t="inlineStr">
        <is>
          <t>IEC motor adaptor/input</t>
        </is>
      </c>
      <c r="J106" s="8" t="n">
        <v>1</v>
      </c>
      <c r="K106" s="9" t="inlineStr">
        <is>
          <t>İRK (helical bevel)</t>
        </is>
      </c>
      <c r="L106" s="10" t="inlineStr">
        <is>
          <t>İRKP 73-TR  i=28.39  + IEC 90 B5</t>
        </is>
      </c>
      <c r="M106" s="11" t="inlineStr">
        <is>
          <t>İRKM 73 / 90 L 4a -TR</t>
        </is>
      </c>
      <c r="N106" s="12" t="n">
        <v>28.39</v>
      </c>
      <c r="O106" s="9" t="n">
        <v>49</v>
      </c>
      <c r="P106" s="9" t="n">
        <v>278</v>
      </c>
      <c r="Q106" s="11" t="inlineStr">
        <is>
          <t>Sf 2.9</t>
        </is>
      </c>
      <c r="R106" s="11" t="inlineStr">
        <is>
          <t>Gearmotor table, 4-pole motor, n1≈1400 rpm</t>
        </is>
      </c>
      <c r="S106" s="11" t="inlineStr">
        <is>
          <t>Hollow shaft, keyed</t>
        </is>
      </c>
      <c r="T106" s="11" t="inlineStr">
        <is>
          <t>IEC 90 B5 (motor 90 L 4a)</t>
        </is>
      </c>
      <c r="U106" s="11" t="inlineStr">
        <is>
          <t>TR/TL torque arm (include); SDL/SDR shrink disc; H retaining washer; OC output cover</t>
        </is>
      </c>
      <c r="V106" s="11" t="inlineStr">
        <is>
          <t>IRK 2024: ratings p.69; dims p.147-148</t>
        </is>
      </c>
      <c r="W106" s="11" t="inlineStr">
        <is>
          <t>Smallest housing with Sf ≥ 1.5 at 1.5 kW / 1400 rpm. Ratio deviation -5.4% vs 1:30.</t>
        </is>
      </c>
      <c r="X106" s="13" t="inlineStr">
        <is>
          <t>IRKP 73 – IEC 90 B5 / B14 + torque arm</t>
        </is>
      </c>
      <c r="Y106" s="14" t="inlineStr">
        <is>
          <t>p.31 (IRKP series) + p.30 (IRK options)</t>
        </is>
      </c>
      <c r="Z106" s="14" t="inlineStr">
        <is>
          <t>YES</t>
        </is>
      </c>
      <c r="AA106" s="15" t="n">
        <v>839</v>
      </c>
      <c r="AB106" s="14" t="inlineStr">
        <is>
          <t>IRKP gear unit €786.00 (hollow shaft) + torque arm €53.00</t>
        </is>
      </c>
      <c r="AC106" s="16">
        <f>ROUND(AA106*(1-$L$2),2)</f>
        <v/>
      </c>
      <c r="AD106" s="17">
        <f>J106*AC106</f>
        <v/>
      </c>
      <c r="AE106" s="14" t="inlineStr">
        <is>
          <t>Shrink disc €103.00 → €66.95 (p.1)</t>
        </is>
      </c>
      <c r="AF106" s="18" t="n"/>
    </row>
    <row r="107">
      <c r="A107" s="8" t="inlineStr">
        <is>
          <t>GB-103</t>
        </is>
      </c>
      <c r="B107" s="8" t="inlineStr">
        <is>
          <t>Helical Bevel</t>
        </is>
      </c>
      <c r="C107" s="8" t="inlineStr">
        <is>
          <t>K / Equivalent</t>
        </is>
      </c>
      <c r="D107" s="8" t="inlineStr">
        <is>
          <t>Supplier selection</t>
        </is>
      </c>
      <c r="E107" s="8" t="n">
        <v>1.5</v>
      </c>
      <c r="F107" s="8" t="inlineStr">
        <is>
          <t>1:40</t>
        </is>
      </c>
      <c r="G107" s="8" t="inlineStr">
        <is>
          <t>Torque-arm / universal</t>
        </is>
      </c>
      <c r="H107" s="8" t="inlineStr">
        <is>
          <t>Hollow shaft, keyed</t>
        </is>
      </c>
      <c r="I107" s="8" t="inlineStr">
        <is>
          <t>IEC motor adaptor/input</t>
        </is>
      </c>
      <c r="J107" s="8" t="n">
        <v>1</v>
      </c>
      <c r="K107" s="9" t="inlineStr">
        <is>
          <t>İRK (helical bevel)</t>
        </is>
      </c>
      <c r="L107" s="10" t="inlineStr">
        <is>
          <t>İRKP 73-TR  i=42.21  + IEC 90 B5</t>
        </is>
      </c>
      <c r="M107" s="11" t="inlineStr">
        <is>
          <t>İRKM 73 / 90 L 4a -TR</t>
        </is>
      </c>
      <c r="N107" s="12" t="n">
        <v>42.21</v>
      </c>
      <c r="O107" s="9" t="n">
        <v>33</v>
      </c>
      <c r="P107" s="9" t="n">
        <v>413</v>
      </c>
      <c r="Q107" s="11" t="inlineStr">
        <is>
          <t>Sf 1.98</t>
        </is>
      </c>
      <c r="R107" s="11" t="inlineStr">
        <is>
          <t>Gearmotor table, 4-pole motor, n1≈1400 rpm</t>
        </is>
      </c>
      <c r="S107" s="11" t="inlineStr">
        <is>
          <t>Hollow shaft, keyed</t>
        </is>
      </c>
      <c r="T107" s="11" t="inlineStr">
        <is>
          <t>IEC 90 B5 (motor 90 L 4a)</t>
        </is>
      </c>
      <c r="U107" s="11" t="inlineStr">
        <is>
          <t>TR/TL torque arm (include); SDL/SDR shrink disc; H retaining washer; OC output cover</t>
        </is>
      </c>
      <c r="V107" s="11" t="inlineStr">
        <is>
          <t>IRK 2024: ratings p.69; dims p.147-148</t>
        </is>
      </c>
      <c r="W107" s="11" t="inlineStr">
        <is>
          <t>Smallest housing with Sf ≥ 1.5 at 1.5 kW / 1400 rpm. Ratio deviation +5.5% vs 1:40. Larger alternatives: 83 (i=37.93, Sf=3.7).</t>
        </is>
      </c>
      <c r="X107" s="13" t="inlineStr">
        <is>
          <t>IRKP 73 – IEC 90 B5 / B14 + torque arm</t>
        </is>
      </c>
      <c r="Y107" s="14" t="inlineStr">
        <is>
          <t>p.31 (IRKP series) + p.30 (IRK options)</t>
        </is>
      </c>
      <c r="Z107" s="14" t="inlineStr">
        <is>
          <t>YES</t>
        </is>
      </c>
      <c r="AA107" s="15" t="n">
        <v>839</v>
      </c>
      <c r="AB107" s="14" t="inlineStr">
        <is>
          <t>IRKP gear unit €786.00 (hollow shaft) + torque arm €53.00</t>
        </is>
      </c>
      <c r="AC107" s="16">
        <f>ROUND(AA107*(1-$L$2),2)</f>
        <v/>
      </c>
      <c r="AD107" s="17">
        <f>J107*AC107</f>
        <v/>
      </c>
      <c r="AE107" s="14" t="inlineStr">
        <is>
          <t>Shrink disc €103.00 → €66.95 (p.1)</t>
        </is>
      </c>
      <c r="AF107" s="18" t="n"/>
    </row>
    <row r="108">
      <c r="A108" s="8" t="inlineStr">
        <is>
          <t>GB-104</t>
        </is>
      </c>
      <c r="B108" s="8" t="inlineStr">
        <is>
          <t>Helical Bevel</t>
        </is>
      </c>
      <c r="C108" s="8" t="inlineStr">
        <is>
          <t>K / Equivalent</t>
        </is>
      </c>
      <c r="D108" s="8" t="inlineStr">
        <is>
          <t>Supplier selection</t>
        </is>
      </c>
      <c r="E108" s="8" t="n">
        <v>2.2</v>
      </c>
      <c r="F108" s="8" t="inlineStr">
        <is>
          <t>1:10</t>
        </is>
      </c>
      <c r="G108" s="8" t="inlineStr">
        <is>
          <t>Torque-arm / universal</t>
        </is>
      </c>
      <c r="H108" s="8" t="inlineStr">
        <is>
          <t>Hollow shaft, keyed</t>
        </is>
      </c>
      <c r="I108" s="8" t="inlineStr">
        <is>
          <t>IEC motor adaptor/input</t>
        </is>
      </c>
      <c r="J108" s="8" t="n">
        <v>1</v>
      </c>
      <c r="K108" s="9" t="inlineStr">
        <is>
          <t>İRK (helical bevel)</t>
        </is>
      </c>
      <c r="L108" s="10" t="inlineStr">
        <is>
          <t>İRKP 63-TR  i=10.44  + IEC 100 B5</t>
        </is>
      </c>
      <c r="M108" s="11" t="inlineStr">
        <is>
          <t>İRKM 63 / 100 L 4a -TR</t>
        </is>
      </c>
      <c r="N108" s="12" t="n">
        <v>10.44</v>
      </c>
      <c r="O108" s="9" t="n">
        <v>134</v>
      </c>
      <c r="P108" s="9" t="n">
        <v>150</v>
      </c>
      <c r="Q108" s="11" t="inlineStr">
        <is>
          <t>Sf 1.84</t>
        </is>
      </c>
      <c r="R108" s="11" t="inlineStr">
        <is>
          <t>Gearmotor table, 4-pole motor, n1≈1400 rpm</t>
        </is>
      </c>
      <c r="S108" s="11" t="inlineStr">
        <is>
          <t>Hollow shaft, keyed</t>
        </is>
      </c>
      <c r="T108" s="11" t="inlineStr">
        <is>
          <t>IEC 100 B5 (motor 100 L 4a)</t>
        </is>
      </c>
      <c r="U108" s="11" t="inlineStr">
        <is>
          <t>TR/TL torque arm (include); SDL/SDR shrink disc; H retaining washer; OC output cover</t>
        </is>
      </c>
      <c r="V108" s="11" t="inlineStr">
        <is>
          <t>IRK 2024: ratings p.73; dims p.143-144</t>
        </is>
      </c>
      <c r="W108" s="11" t="inlineStr">
        <is>
          <t>Smallest housing with Sf ≥ 1.5 at 2.2 kW / 1400 rpm. Ratio deviation +4.4% vs 1:10. Larger alternatives: 73 (i=10.38, Sf=3.5).</t>
        </is>
      </c>
      <c r="X108" s="13" t="inlineStr">
        <is>
          <t>IRKP 63 – IEC 100 B5 / B14 + torque arm</t>
        </is>
      </c>
      <c r="Y108" s="14" t="inlineStr">
        <is>
          <t>p.31 (IRKP series) + p.30 (IRK options)</t>
        </is>
      </c>
      <c r="Z108" s="14" t="inlineStr">
        <is>
          <t>YES</t>
        </is>
      </c>
      <c r="AA108" s="15" t="n">
        <v>539</v>
      </c>
      <c r="AB108" s="14" t="inlineStr">
        <is>
          <t>IRKP gear unit €500.00 (hollow shaft) + torque arm €39.00</t>
        </is>
      </c>
      <c r="AC108" s="16">
        <f>ROUND(AA108*(1-$L$2),2)</f>
        <v/>
      </c>
      <c r="AD108" s="17">
        <f>J108*AC108</f>
        <v/>
      </c>
      <c r="AE108" s="14" t="inlineStr">
        <is>
          <t>Shrink disc €68.00 → €44.20 (p.1)</t>
        </is>
      </c>
      <c r="AF108" s="18" t="n"/>
    </row>
    <row r="109">
      <c r="A109" s="8" t="inlineStr">
        <is>
          <t>GB-105</t>
        </is>
      </c>
      <c r="B109" s="8" t="inlineStr">
        <is>
          <t>Helical Bevel</t>
        </is>
      </c>
      <c r="C109" s="8" t="inlineStr">
        <is>
          <t>K / Equivalent</t>
        </is>
      </c>
      <c r="D109" s="8" t="inlineStr">
        <is>
          <t>Supplier selection</t>
        </is>
      </c>
      <c r="E109" s="8" t="n">
        <v>2.2</v>
      </c>
      <c r="F109" s="8" t="inlineStr">
        <is>
          <t>1:15</t>
        </is>
      </c>
      <c r="G109" s="8" t="inlineStr">
        <is>
          <t>Torque-arm / universal</t>
        </is>
      </c>
      <c r="H109" s="8" t="inlineStr">
        <is>
          <t>Hollow shaft, keyed</t>
        </is>
      </c>
      <c r="I109" s="8" t="inlineStr">
        <is>
          <t>IEC motor adaptor/input</t>
        </is>
      </c>
      <c r="J109" s="8" t="n">
        <v>1</v>
      </c>
      <c r="K109" s="9" t="inlineStr">
        <is>
          <t>İRK (helical bevel)</t>
        </is>
      </c>
      <c r="L109" s="10" t="inlineStr">
        <is>
          <t>İRKP 63-TR  i=15.04  + IEC 100 B5</t>
        </is>
      </c>
      <c r="M109" s="11" t="inlineStr">
        <is>
          <t>İRKM 63 / 100 L 4a -TR</t>
        </is>
      </c>
      <c r="N109" s="12" t="n">
        <v>15.04</v>
      </c>
      <c r="O109" s="9" t="n">
        <v>93</v>
      </c>
      <c r="P109" s="9" t="n">
        <v>216</v>
      </c>
      <c r="Q109" s="11" t="inlineStr">
        <is>
          <t>Sf 1.64</t>
        </is>
      </c>
      <c r="R109" s="11" t="inlineStr">
        <is>
          <t>Gearmotor table, 4-pole motor, n1≈1400 rpm</t>
        </is>
      </c>
      <c r="S109" s="11" t="inlineStr">
        <is>
          <t>Hollow shaft, keyed</t>
        </is>
      </c>
      <c r="T109" s="11" t="inlineStr">
        <is>
          <t>IEC 100 B5 (motor 100 L 4a)</t>
        </is>
      </c>
      <c r="U109" s="11" t="inlineStr">
        <is>
          <t>TR/TL torque arm (include); SDL/SDR shrink disc; H retaining washer; OC output cover</t>
        </is>
      </c>
      <c r="V109" s="11" t="inlineStr">
        <is>
          <t>IRK 2024: ratings p.73; dims p.143-144</t>
        </is>
      </c>
      <c r="W109" s="11" t="inlineStr">
        <is>
          <t>Smallest housing with Sf ≥ 1.5 at 2.2 kW / 1400 rpm. Ratio deviation +0.3% vs 1:15. Larger alternatives: 73 (i=15.53, Sf=3.0).</t>
        </is>
      </c>
      <c r="X109" s="13" t="inlineStr">
        <is>
          <t>IRKP 63 – IEC 100 B5 / B14 + torque arm</t>
        </is>
      </c>
      <c r="Y109" s="14" t="inlineStr">
        <is>
          <t>p.31 (IRKP series) + p.30 (IRK options)</t>
        </is>
      </c>
      <c r="Z109" s="14" t="inlineStr">
        <is>
          <t>YES</t>
        </is>
      </c>
      <c r="AA109" s="15" t="n">
        <v>539</v>
      </c>
      <c r="AB109" s="14" t="inlineStr">
        <is>
          <t>IRKP gear unit €500.00 (hollow shaft) + torque arm €39.00</t>
        </is>
      </c>
      <c r="AC109" s="16">
        <f>ROUND(AA109*(1-$L$2),2)</f>
        <v/>
      </c>
      <c r="AD109" s="17">
        <f>J109*AC109</f>
        <v/>
      </c>
      <c r="AE109" s="14" t="inlineStr">
        <is>
          <t>Shrink disc €68.00 → €44.20 (p.1)</t>
        </is>
      </c>
      <c r="AF109" s="18" t="n"/>
    </row>
    <row r="110">
      <c r="A110" s="8" t="inlineStr">
        <is>
          <t>GB-106</t>
        </is>
      </c>
      <c r="B110" s="8" t="inlineStr">
        <is>
          <t>Helical Bevel</t>
        </is>
      </c>
      <c r="C110" s="8" t="inlineStr">
        <is>
          <t>K / Equivalent</t>
        </is>
      </c>
      <c r="D110" s="8" t="inlineStr">
        <is>
          <t>Supplier selection</t>
        </is>
      </c>
      <c r="E110" s="8" t="n">
        <v>2.2</v>
      </c>
      <c r="F110" s="8" t="inlineStr">
        <is>
          <t>1:20</t>
        </is>
      </c>
      <c r="G110" s="8" t="inlineStr">
        <is>
          <t>Torque-arm / universal</t>
        </is>
      </c>
      <c r="H110" s="8" t="inlineStr">
        <is>
          <t>Hollow shaft, keyed</t>
        </is>
      </c>
      <c r="I110" s="8" t="inlineStr">
        <is>
          <t>IEC motor adaptor/input</t>
        </is>
      </c>
      <c r="J110" s="8" t="n">
        <v>1</v>
      </c>
      <c r="K110" s="9" t="inlineStr">
        <is>
          <t>İRK (helical bevel)</t>
        </is>
      </c>
      <c r="L110" s="10" t="inlineStr">
        <is>
          <t>İRKP 73-TR  i=19.51  + IEC 100 B5</t>
        </is>
      </c>
      <c r="M110" s="11" t="inlineStr">
        <is>
          <t>İRKM 73 / 100 L 4a -TR</t>
        </is>
      </c>
      <c r="N110" s="12" t="n">
        <v>19.51</v>
      </c>
      <c r="O110" s="9" t="n">
        <v>72</v>
      </c>
      <c r="P110" s="9" t="n">
        <v>280</v>
      </c>
      <c r="Q110" s="11" t="inlineStr">
        <is>
          <t>Sf 2.7</t>
        </is>
      </c>
      <c r="R110" s="11" t="inlineStr">
        <is>
          <t>Gearmotor table, 4-pole motor, n1≈1400 rpm</t>
        </is>
      </c>
      <c r="S110" s="11" t="inlineStr">
        <is>
          <t>Hollow shaft, keyed</t>
        </is>
      </c>
      <c r="T110" s="11" t="inlineStr">
        <is>
          <t>IEC 100 B5 (motor 100 L 4a)</t>
        </is>
      </c>
      <c r="U110" s="11" t="inlineStr">
        <is>
          <t>TR/TL torque arm (include); SDL/SDR shrink disc; H retaining washer; OC output cover</t>
        </is>
      </c>
      <c r="V110" s="11" t="inlineStr">
        <is>
          <t>IRK 2024: ratings p.72; dims p.147-148</t>
        </is>
      </c>
      <c r="W110" s="11" t="inlineStr">
        <is>
          <t>Smallest housing with Sf ≥ 1.5 at 2.2 kW / 1400 rpm. Ratio deviation -2.4% vs 1:20.</t>
        </is>
      </c>
      <c r="X110" s="13" t="inlineStr">
        <is>
          <t>IRKP 73 – IEC 100 B5 / B14 + torque arm</t>
        </is>
      </c>
      <c r="Y110" s="14" t="inlineStr">
        <is>
          <t>p.31 (IRKP series) + p.30 (IRK options)</t>
        </is>
      </c>
      <c r="Z110" s="14" t="inlineStr">
        <is>
          <t>YES</t>
        </is>
      </c>
      <c r="AA110" s="15" t="n">
        <v>856</v>
      </c>
      <c r="AB110" s="14" t="inlineStr">
        <is>
          <t>IRKP gear unit €803.00 (hollow shaft) + torque arm €53.00</t>
        </is>
      </c>
      <c r="AC110" s="16">
        <f>ROUND(AA110*(1-$L$2),2)</f>
        <v/>
      </c>
      <c r="AD110" s="17">
        <f>J110*AC110</f>
        <v/>
      </c>
      <c r="AE110" s="14" t="inlineStr">
        <is>
          <t>Shrink disc €103.00 → €66.95 (p.1)</t>
        </is>
      </c>
      <c r="AF110" s="18" t="n"/>
    </row>
    <row r="111">
      <c r="A111" s="8" t="inlineStr">
        <is>
          <t>GB-107</t>
        </is>
      </c>
      <c r="B111" s="8" t="inlineStr">
        <is>
          <t>Helical Bevel</t>
        </is>
      </c>
      <c r="C111" s="8" t="inlineStr">
        <is>
          <t>K / Equivalent</t>
        </is>
      </c>
      <c r="D111" s="8" t="inlineStr">
        <is>
          <t>Supplier selection</t>
        </is>
      </c>
      <c r="E111" s="8" t="n">
        <v>2.2</v>
      </c>
      <c r="F111" s="8" t="inlineStr">
        <is>
          <t>1:30</t>
        </is>
      </c>
      <c r="G111" s="8" t="inlineStr">
        <is>
          <t>Torque-arm / universal</t>
        </is>
      </c>
      <c r="H111" s="8" t="inlineStr">
        <is>
          <t>Hollow shaft, keyed</t>
        </is>
      </c>
      <c r="I111" s="8" t="inlineStr">
        <is>
          <t>IEC motor adaptor/input</t>
        </is>
      </c>
      <c r="J111" s="8" t="n">
        <v>1</v>
      </c>
      <c r="K111" s="9" t="inlineStr">
        <is>
          <t>İRK (helical bevel)</t>
        </is>
      </c>
      <c r="L111" s="10" t="inlineStr">
        <is>
          <t>İRKP 83-TR  i=31.34  + IEC 100 B5</t>
        </is>
      </c>
      <c r="M111" s="11" t="inlineStr">
        <is>
          <t>İRKM 83 / 100 L 4a -TR</t>
        </is>
      </c>
      <c r="N111" s="12" t="n">
        <v>31.34</v>
      </c>
      <c r="O111" s="9" t="n">
        <v>45</v>
      </c>
      <c r="P111" s="9" t="n">
        <v>450</v>
      </c>
      <c r="Q111" s="11" t="inlineStr">
        <is>
          <t>Sf 3.3</t>
        </is>
      </c>
      <c r="R111" s="11" t="inlineStr">
        <is>
          <t>Gearmotor table, 4-pole motor, n1≈1400 rpm</t>
        </is>
      </c>
      <c r="S111" s="11" t="inlineStr">
        <is>
          <t>Hollow shaft, keyed</t>
        </is>
      </c>
      <c r="T111" s="11" t="inlineStr">
        <is>
          <t>IEC 100 B5 (motor 100 L 4a)</t>
        </is>
      </c>
      <c r="U111" s="11" t="inlineStr">
        <is>
          <t>TR/TL torque arm (include); SDL/SDR shrink disc; H retaining washer; OC output cover</t>
        </is>
      </c>
      <c r="V111" s="11" t="inlineStr">
        <is>
          <t>IRK 2024: ratings p.72; dims p.153-154</t>
        </is>
      </c>
      <c r="W111" s="11" t="inlineStr">
        <is>
          <t>Smallest housing with Sf ≥ 1.5 at 2.2 kW / 1400 rpm. Ratio deviation +4.5% vs 1:30.</t>
        </is>
      </c>
      <c r="X111" s="13" t="inlineStr">
        <is>
          <t>IRKP 83 – IEC 100 B5 / B14 + torque arm</t>
        </is>
      </c>
      <c r="Y111" s="14" t="inlineStr">
        <is>
          <t>p.32 (IRKP series) + p.30 (IRK options)</t>
        </is>
      </c>
      <c r="Z111" s="14" t="inlineStr">
        <is>
          <t>YES</t>
        </is>
      </c>
      <c r="AA111" s="15" t="n">
        <v>1254</v>
      </c>
      <c r="AB111" s="14" t="inlineStr">
        <is>
          <t>IRKP gear unit €1,195.00 (hollow shaft) + torque arm €59.00</t>
        </is>
      </c>
      <c r="AC111" s="16">
        <f>ROUND(AA111*(1-$L$2),2)</f>
        <v/>
      </c>
      <c r="AD111" s="17">
        <f>J111*AC111</f>
        <v/>
      </c>
      <c r="AE111" s="14" t="inlineStr">
        <is>
          <t>Shrink disc €162.00 → €105.30 (p.1)</t>
        </is>
      </c>
      <c r="AF111" s="18" t="n"/>
    </row>
    <row r="112">
      <c r="A112" s="8" t="inlineStr">
        <is>
          <t>GB-108</t>
        </is>
      </c>
      <c r="B112" s="8" t="inlineStr">
        <is>
          <t>Helical Bevel</t>
        </is>
      </c>
      <c r="C112" s="8" t="inlineStr">
        <is>
          <t>K / Equivalent</t>
        </is>
      </c>
      <c r="D112" s="8" t="inlineStr">
        <is>
          <t>Supplier selection</t>
        </is>
      </c>
      <c r="E112" s="8" t="n">
        <v>2.2</v>
      </c>
      <c r="F112" s="8" t="inlineStr">
        <is>
          <t>1:40</t>
        </is>
      </c>
      <c r="G112" s="8" t="inlineStr">
        <is>
          <t>Torque-arm / universal</t>
        </is>
      </c>
      <c r="H112" s="8" t="inlineStr">
        <is>
          <t>Hollow shaft, keyed</t>
        </is>
      </c>
      <c r="I112" s="8" t="inlineStr">
        <is>
          <t>IEC motor adaptor/input</t>
        </is>
      </c>
      <c r="J112" s="8" t="n">
        <v>1</v>
      </c>
      <c r="K112" s="9" t="inlineStr">
        <is>
          <t>İRK (helical bevel)</t>
        </is>
      </c>
      <c r="L112" s="10" t="inlineStr">
        <is>
          <t>İRKP 83-TR  i=37.93  + IEC 100 B5</t>
        </is>
      </c>
      <c r="M112" s="11" t="inlineStr">
        <is>
          <t>İRKM 83 / 100 L 4a -TR</t>
        </is>
      </c>
      <c r="N112" s="12" t="n">
        <v>37.93</v>
      </c>
      <c r="O112" s="9" t="n">
        <v>37</v>
      </c>
      <c r="P112" s="9" t="n">
        <v>544</v>
      </c>
      <c r="Q112" s="11" t="inlineStr">
        <is>
          <t>Sf 2.5</t>
        </is>
      </c>
      <c r="R112" s="11" t="inlineStr">
        <is>
          <t>Gearmotor table, 4-pole motor, n1≈1400 rpm</t>
        </is>
      </c>
      <c r="S112" s="11" t="inlineStr">
        <is>
          <t>Hollow shaft, keyed</t>
        </is>
      </c>
      <c r="T112" s="11" t="inlineStr">
        <is>
          <t>IEC 100 B5 (motor 100 L 4a)</t>
        </is>
      </c>
      <c r="U112" s="11" t="inlineStr">
        <is>
          <t>TR/TL torque arm (include); SDL/SDR shrink disc; H retaining washer; OC output cover</t>
        </is>
      </c>
      <c r="V112" s="11" t="inlineStr">
        <is>
          <t>IRK 2024: ratings p.72; dims p.153-154</t>
        </is>
      </c>
      <c r="W112" s="11" t="inlineStr">
        <is>
          <t>Smallest housing with Sf ≥ 1.5 at 2.2 kW / 1400 rpm. Ratio deviation -5.2% vs 1:40. Larger alternatives: 93 (i=43.03, Sf=4.3).</t>
        </is>
      </c>
      <c r="X112" s="13" t="inlineStr">
        <is>
          <t>IRKP 83 – IEC 100 B5 / B14 + torque arm</t>
        </is>
      </c>
      <c r="Y112" s="14" t="inlineStr">
        <is>
          <t>p.32 (IRKP series) + p.30 (IRK options)</t>
        </is>
      </c>
      <c r="Z112" s="14" t="inlineStr">
        <is>
          <t>YES</t>
        </is>
      </c>
      <c r="AA112" s="15" t="n">
        <v>1254</v>
      </c>
      <c r="AB112" s="14" t="inlineStr">
        <is>
          <t>IRKP gear unit €1,195.00 (hollow shaft) + torque arm €59.00</t>
        </is>
      </c>
      <c r="AC112" s="16">
        <f>ROUND(AA112*(1-$L$2),2)</f>
        <v/>
      </c>
      <c r="AD112" s="17">
        <f>J112*AC112</f>
        <v/>
      </c>
      <c r="AE112" s="14" t="inlineStr">
        <is>
          <t>Shrink disc €162.00 → €105.30 (p.1)</t>
        </is>
      </c>
      <c r="AF112" s="18" t="n"/>
    </row>
    <row r="113">
      <c r="A113" s="8" t="inlineStr">
        <is>
          <t>GB-109</t>
        </is>
      </c>
      <c r="B113" s="8" t="inlineStr">
        <is>
          <t>Helical Bevel</t>
        </is>
      </c>
      <c r="C113" s="8" t="inlineStr">
        <is>
          <t>K / Equivalent</t>
        </is>
      </c>
      <c r="D113" s="8" t="inlineStr">
        <is>
          <t>Supplier selection</t>
        </is>
      </c>
      <c r="E113" s="8" t="n">
        <v>3</v>
      </c>
      <c r="F113" s="8" t="inlineStr">
        <is>
          <t>1:15</t>
        </is>
      </c>
      <c r="G113" s="8" t="inlineStr">
        <is>
          <t>Foot mounted</t>
        </is>
      </c>
      <c r="H113" s="8" t="inlineStr">
        <is>
          <t>Solid output shaft</t>
        </is>
      </c>
      <c r="I113" s="8" t="inlineStr">
        <is>
          <t>IEC motor adaptor/input</t>
        </is>
      </c>
      <c r="J113" s="8" t="n">
        <v>1</v>
      </c>
      <c r="K113" s="9" t="inlineStr">
        <is>
          <t>İRK (helical bevel)</t>
        </is>
      </c>
      <c r="L113" s="10" t="inlineStr">
        <is>
          <t>İRKP 73-SR  i=15.53  + IEC 100 B5 (foot mounted)</t>
        </is>
      </c>
      <c r="M113" s="11" t="inlineStr">
        <is>
          <t>İRKM 73 / 100 L 4b -SR (foot mounted)</t>
        </is>
      </c>
      <c r="N113" s="12" t="n">
        <v>15.53</v>
      </c>
      <c r="O113" s="9" t="n">
        <v>90</v>
      </c>
      <c r="P113" s="9" t="n">
        <v>304</v>
      </c>
      <c r="Q113" s="11" t="inlineStr">
        <is>
          <t>Sf 2.2</t>
        </is>
      </c>
      <c r="R113" s="11" t="inlineStr">
        <is>
          <t>Gearmotor table, 4-pole motor, n1≈1400 rpm</t>
        </is>
      </c>
      <c r="S113" s="11" t="inlineStr">
        <is>
          <t>Solid output shaft (SR/SL), foot mounted</t>
        </is>
      </c>
      <c r="T113" s="11" t="inlineStr">
        <is>
          <t>IEC 100 B5 (motor 100 L 4b)</t>
        </is>
      </c>
      <c r="U113" s="11" t="inlineStr">
        <is>
          <t>Output flange option: İRKF…-FR-SR (flange mounted, solid shaft); SD double shaft</t>
        </is>
      </c>
      <c r="V113" s="11" t="inlineStr">
        <is>
          <t>IRK 2024: ratings p.76; dims p.147-148</t>
        </is>
      </c>
      <c r="W113" s="11" t="inlineStr">
        <is>
          <t>Smallest housing with Sf ≥ 1.5 at 3 kW / 1400 rpm. Ratio deviation +3.5% vs 1:15. Larger alternatives: 83 (i=15.5, Sf=4.5).</t>
        </is>
      </c>
      <c r="X113" s="13" t="inlineStr">
        <is>
          <t>IRKP 73 – IEC 100 B5 / B14 + single output shaft (foot)</t>
        </is>
      </c>
      <c r="Y113" s="14" t="inlineStr">
        <is>
          <t>p.31 (IRKP series) + p.30 (IRK options)</t>
        </is>
      </c>
      <c r="Z113" s="14" t="inlineStr">
        <is>
          <t>YES</t>
        </is>
      </c>
      <c r="AA113" s="15" t="n">
        <v>854</v>
      </c>
      <c r="AB113" s="14" t="inlineStr">
        <is>
          <t>IRKP gear unit €803.00 + single output shaft €51.00</t>
        </is>
      </c>
      <c r="AC113" s="16">
        <f>ROUND(AA113*(1-$L$2),2)</f>
        <v/>
      </c>
      <c r="AD113" s="17">
        <f>J113*AC113</f>
        <v/>
      </c>
      <c r="AE113" s="14" t="inlineStr">
        <is>
          <t>Output-flange option IRKFP 73 €827.00 + output shaft (flange) €59.00 = €886.00 → net €575.90</t>
        </is>
      </c>
      <c r="AF113" s="18" t="n"/>
    </row>
    <row r="114">
      <c r="A114" s="8" t="inlineStr">
        <is>
          <t>GB-110</t>
        </is>
      </c>
      <c r="B114" s="8" t="inlineStr">
        <is>
          <t>Helical Bevel</t>
        </is>
      </c>
      <c r="C114" s="8" t="inlineStr">
        <is>
          <t>K / Equivalent</t>
        </is>
      </c>
      <c r="D114" s="8" t="inlineStr">
        <is>
          <t>Supplier selection</t>
        </is>
      </c>
      <c r="E114" s="8" t="n">
        <v>3</v>
      </c>
      <c r="F114" s="8" t="inlineStr">
        <is>
          <t>1:20</t>
        </is>
      </c>
      <c r="G114" s="8" t="inlineStr">
        <is>
          <t>Foot mounted</t>
        </is>
      </c>
      <c r="H114" s="8" t="inlineStr">
        <is>
          <t>Solid output shaft</t>
        </is>
      </c>
      <c r="I114" s="8" t="inlineStr">
        <is>
          <t>IEC motor adaptor/input</t>
        </is>
      </c>
      <c r="J114" s="8" t="n">
        <v>1</v>
      </c>
      <c r="K114" s="9" t="inlineStr">
        <is>
          <t>İRK (helical bevel)</t>
        </is>
      </c>
      <c r="L114" s="10" t="inlineStr">
        <is>
          <t>İRKP 73-SR  i=19.51  + IEC 100 B5 (foot mounted)</t>
        </is>
      </c>
      <c r="M114" s="11" t="inlineStr">
        <is>
          <t>İRKM 73 / 100 L 4b -SR (foot mounted)</t>
        </is>
      </c>
      <c r="N114" s="12" t="n">
        <v>19.51</v>
      </c>
      <c r="O114" s="9" t="n">
        <v>72</v>
      </c>
      <c r="P114" s="9" t="n">
        <v>381</v>
      </c>
      <c r="Q114" s="11" t="inlineStr">
        <is>
          <t>Sf 1.94</t>
        </is>
      </c>
      <c r="R114" s="11" t="inlineStr">
        <is>
          <t>Gearmotor table, 4-pole motor, n1≈1400 rpm</t>
        </is>
      </c>
      <c r="S114" s="11" t="inlineStr">
        <is>
          <t>Solid output shaft (SR/SL), foot mounted</t>
        </is>
      </c>
      <c r="T114" s="11" t="inlineStr">
        <is>
          <t>IEC 100 B5 (motor 100 L 4b)</t>
        </is>
      </c>
      <c r="U114" s="11" t="inlineStr">
        <is>
          <t>Output flange option: İRKF…-FR-SR (flange mounted, solid shaft); SD double shaft</t>
        </is>
      </c>
      <c r="V114" s="11" t="inlineStr">
        <is>
          <t>IRK 2024: ratings p.76; dims p.147-148</t>
        </is>
      </c>
      <c r="W114" s="11" t="inlineStr">
        <is>
          <t>Smallest housing with Sf ≥ 1.5 at 3 kW / 1400 rpm. Ratio deviation -2.4% vs 1:20. Larger alternatives: 83 (i=19.33, Sf=3.6).</t>
        </is>
      </c>
      <c r="X114" s="13" t="inlineStr">
        <is>
          <t>IRKP 73 – IEC 100 B5 / B14 + single output shaft (foot)</t>
        </is>
      </c>
      <c r="Y114" s="14" t="inlineStr">
        <is>
          <t>p.31 (IRKP series) + p.30 (IRK options)</t>
        </is>
      </c>
      <c r="Z114" s="14" t="inlineStr">
        <is>
          <t>YES</t>
        </is>
      </c>
      <c r="AA114" s="15" t="n">
        <v>854</v>
      </c>
      <c r="AB114" s="14" t="inlineStr">
        <is>
          <t>IRKP gear unit €803.00 + single output shaft €51.00</t>
        </is>
      </c>
      <c r="AC114" s="16">
        <f>ROUND(AA114*(1-$L$2),2)</f>
        <v/>
      </c>
      <c r="AD114" s="17">
        <f>J114*AC114</f>
        <v/>
      </c>
      <c r="AE114" s="14" t="inlineStr">
        <is>
          <t>Output-flange option IRKFP 73 €827.00 + output shaft (flange) €59.00 = €886.00 → net €575.90</t>
        </is>
      </c>
      <c r="AF114" s="18" t="n"/>
    </row>
    <row r="115">
      <c r="A115" s="8" t="inlineStr">
        <is>
          <t>GB-111</t>
        </is>
      </c>
      <c r="B115" s="8" t="inlineStr">
        <is>
          <t>Helical Bevel</t>
        </is>
      </c>
      <c r="C115" s="8" t="inlineStr">
        <is>
          <t>K / Equivalent</t>
        </is>
      </c>
      <c r="D115" s="8" t="inlineStr">
        <is>
          <t>Supplier selection</t>
        </is>
      </c>
      <c r="E115" s="8" t="n">
        <v>3</v>
      </c>
      <c r="F115" s="8" t="inlineStr">
        <is>
          <t>1:30</t>
        </is>
      </c>
      <c r="G115" s="8" t="inlineStr">
        <is>
          <t>Foot mounted</t>
        </is>
      </c>
      <c r="H115" s="8" t="inlineStr">
        <is>
          <t>Solid output shaft</t>
        </is>
      </c>
      <c r="I115" s="8" t="inlineStr">
        <is>
          <t>IEC motor adaptor/input</t>
        </is>
      </c>
      <c r="J115" s="8" t="n">
        <v>1</v>
      </c>
      <c r="K115" s="9" t="inlineStr">
        <is>
          <t>İRK (helical bevel)</t>
        </is>
      </c>
      <c r="L115" s="10" t="inlineStr">
        <is>
          <t>İRKP 83-SR  i=31.34  + IEC 100 B5 (foot mounted)</t>
        </is>
      </c>
      <c r="M115" s="11" t="inlineStr">
        <is>
          <t>İRKM 83 / 100 L 4b -SR (foot mounted)</t>
        </is>
      </c>
      <c r="N115" s="12" t="n">
        <v>31.34</v>
      </c>
      <c r="O115" s="9" t="n">
        <v>45</v>
      </c>
      <c r="P115" s="9" t="n">
        <v>613</v>
      </c>
      <c r="Q115" s="11" t="inlineStr">
        <is>
          <t>Sf 2.4</t>
        </is>
      </c>
      <c r="R115" s="11" t="inlineStr">
        <is>
          <t>Gearmotor table, 4-pole motor, n1≈1400 rpm</t>
        </is>
      </c>
      <c r="S115" s="11" t="inlineStr">
        <is>
          <t>Solid output shaft (SR/SL), foot mounted</t>
        </is>
      </c>
      <c r="T115" s="11" t="inlineStr">
        <is>
          <t>IEC 100 B5 (motor 100 L 4b)</t>
        </is>
      </c>
      <c r="U115" s="11" t="inlineStr">
        <is>
          <t>Output flange option: İRKF…-FR-SR (flange mounted, solid shaft); SD double shaft</t>
        </is>
      </c>
      <c r="V115" s="11" t="inlineStr">
        <is>
          <t>IRK 2024: ratings p.76; dims p.153-154</t>
        </is>
      </c>
      <c r="W115" s="11" t="inlineStr">
        <is>
          <t>Smallest housing with Sf ≥ 1.5 at 3 kW / 1400 rpm. Ratio deviation +4.5% vs 1:30.</t>
        </is>
      </c>
      <c r="X115" s="13" t="inlineStr">
        <is>
          <t>IRKP 83 – IEC 100 B5 / B14 + single output shaft (foot)</t>
        </is>
      </c>
      <c r="Y115" s="14" t="inlineStr">
        <is>
          <t>p.32 (IRKP series) + p.30 (IRK options)</t>
        </is>
      </c>
      <c r="Z115" s="14" t="inlineStr">
        <is>
          <t>YES</t>
        </is>
      </c>
      <c r="AA115" s="15" t="n">
        <v>1251</v>
      </c>
      <c r="AB115" s="14" t="inlineStr">
        <is>
          <t>IRKP gear unit €1,195.00 + single output shaft €56.00</t>
        </is>
      </c>
      <c r="AC115" s="16">
        <f>ROUND(AA115*(1-$L$2),2)</f>
        <v/>
      </c>
      <c r="AD115" s="17">
        <f>J115*AC115</f>
        <v/>
      </c>
      <c r="AE115" s="14" t="inlineStr">
        <is>
          <t>Output-flange option IRKFP 83 €1,227.00 + output shaft (flange) €64.00 = €1,291.00 → net €839.15</t>
        </is>
      </c>
      <c r="AF115" s="18" t="n"/>
    </row>
    <row r="116">
      <c r="A116" s="8" t="inlineStr">
        <is>
          <t>GB-112</t>
        </is>
      </c>
      <c r="B116" s="8" t="inlineStr">
        <is>
          <t>Helical Bevel</t>
        </is>
      </c>
      <c r="C116" s="8" t="inlineStr">
        <is>
          <t>K / Equivalent</t>
        </is>
      </c>
      <c r="D116" s="8" t="inlineStr">
        <is>
          <t>Supplier selection</t>
        </is>
      </c>
      <c r="E116" s="8" t="n">
        <v>4</v>
      </c>
      <c r="F116" s="8" t="inlineStr">
        <is>
          <t>1:15</t>
        </is>
      </c>
      <c r="G116" s="8" t="inlineStr">
        <is>
          <t>Foot mounted</t>
        </is>
      </c>
      <c r="H116" s="8" t="inlineStr">
        <is>
          <t>Solid output shaft</t>
        </is>
      </c>
      <c r="I116" s="8" t="inlineStr">
        <is>
          <t>IEC motor adaptor/input</t>
        </is>
      </c>
      <c r="J116" s="8" t="n">
        <v>1</v>
      </c>
      <c r="K116" s="9" t="inlineStr">
        <is>
          <t>İRK (helical bevel)</t>
        </is>
      </c>
      <c r="L116" s="10" t="inlineStr">
        <is>
          <t>İRKP 73-SR  i=15.53  + IEC 112 B5 (foot mounted)</t>
        </is>
      </c>
      <c r="M116" s="11" t="inlineStr">
        <is>
          <t>İRKM 73 / 112 M 4b -SR (foot mounted)</t>
        </is>
      </c>
      <c r="N116" s="12" t="n">
        <v>15.53</v>
      </c>
      <c r="O116" s="9" t="n">
        <v>90</v>
      </c>
      <c r="P116" s="9" t="n">
        <v>405</v>
      </c>
      <c r="Q116" s="11" t="inlineStr">
        <is>
          <t>Sf 1.65</t>
        </is>
      </c>
      <c r="R116" s="11" t="inlineStr">
        <is>
          <t>Gearmotor table, 4-pole motor, n1≈1400 rpm</t>
        </is>
      </c>
      <c r="S116" s="11" t="inlineStr">
        <is>
          <t>Solid output shaft (SR/SL), foot mounted</t>
        </is>
      </c>
      <c r="T116" s="11" t="inlineStr">
        <is>
          <t>IEC 112 B5 (motor 112 M 4b)</t>
        </is>
      </c>
      <c r="U116" s="11" t="inlineStr">
        <is>
          <t>Output flange option: İRKF…-FR-SR (flange mounted, solid shaft); SD double shaft</t>
        </is>
      </c>
      <c r="V116" s="11" t="inlineStr">
        <is>
          <t>IRK 2024: ratings p.81; dims p.147-148</t>
        </is>
      </c>
      <c r="W116" s="11" t="inlineStr">
        <is>
          <t>Smallest housing with Sf ≥ 1.5 at 4 kW / 1400 rpm. Ratio deviation +3.5% vs 1:15. Larger alternatives: 83 (i=15.5, Sf=3.4).</t>
        </is>
      </c>
      <c r="X116" s="13" t="inlineStr">
        <is>
          <t>IRKP 73 – IEC 112 B5 / B14 + single output shaft (foot)</t>
        </is>
      </c>
      <c r="Y116" s="14" t="inlineStr">
        <is>
          <t>p.31 (IRKP series) + p.30 (IRK options)</t>
        </is>
      </c>
      <c r="Z116" s="14" t="inlineStr">
        <is>
          <t>YES</t>
        </is>
      </c>
      <c r="AA116" s="15" t="n">
        <v>854</v>
      </c>
      <c r="AB116" s="14" t="inlineStr">
        <is>
          <t>IRKP gear unit €803.00 + single output shaft €51.00</t>
        </is>
      </c>
      <c r="AC116" s="16">
        <f>ROUND(AA116*(1-$L$2),2)</f>
        <v/>
      </c>
      <c r="AD116" s="17">
        <f>J116*AC116</f>
        <v/>
      </c>
      <c r="AE116" s="14" t="inlineStr">
        <is>
          <t>Output-flange option IRKFP 73 €827.00 + output shaft (flange) €59.00 = €886.00 → net €575.90</t>
        </is>
      </c>
      <c r="AF116" s="18" t="n"/>
    </row>
    <row r="117">
      <c r="A117" s="8" t="inlineStr">
        <is>
          <t>GB-113</t>
        </is>
      </c>
      <c r="B117" s="8" t="inlineStr">
        <is>
          <t>Helical Bevel</t>
        </is>
      </c>
      <c r="C117" s="8" t="inlineStr">
        <is>
          <t>K / Equivalent</t>
        </is>
      </c>
      <c r="D117" s="8" t="inlineStr">
        <is>
          <t>Supplier selection</t>
        </is>
      </c>
      <c r="E117" s="8" t="n">
        <v>4</v>
      </c>
      <c r="F117" s="8" t="inlineStr">
        <is>
          <t>1:20</t>
        </is>
      </c>
      <c r="G117" s="8" t="inlineStr">
        <is>
          <t>Foot mounted</t>
        </is>
      </c>
      <c r="H117" s="8" t="inlineStr">
        <is>
          <t>Solid output shaft</t>
        </is>
      </c>
      <c r="I117" s="8" t="inlineStr">
        <is>
          <t>IEC motor adaptor/input</t>
        </is>
      </c>
      <c r="J117" s="8" t="n">
        <v>1</v>
      </c>
      <c r="K117" s="9" t="inlineStr">
        <is>
          <t>İRK (helical bevel)</t>
        </is>
      </c>
      <c r="L117" s="10" t="inlineStr">
        <is>
          <t>İRKP 83-SR  i=19.33  + IEC 112 B5 (foot mounted)</t>
        </is>
      </c>
      <c r="M117" s="11" t="inlineStr">
        <is>
          <t>İRKM 83 / 112 M 4b -SR (foot mounted)</t>
        </is>
      </c>
      <c r="N117" s="12" t="n">
        <v>19.33</v>
      </c>
      <c r="O117" s="9" t="n">
        <v>72</v>
      </c>
      <c r="P117" s="9" t="n">
        <v>504</v>
      </c>
      <c r="Q117" s="11" t="inlineStr">
        <is>
          <t>Sf 2.7</t>
        </is>
      </c>
      <c r="R117" s="11" t="inlineStr">
        <is>
          <t>Gearmotor table, 4-pole motor, n1≈1400 rpm</t>
        </is>
      </c>
      <c r="S117" s="11" t="inlineStr">
        <is>
          <t>Solid output shaft (SR/SL), foot mounted</t>
        </is>
      </c>
      <c r="T117" s="11" t="inlineStr">
        <is>
          <t>IEC 112 B5 (motor 112 M 4b)</t>
        </is>
      </c>
      <c r="U117" s="11" t="inlineStr">
        <is>
          <t>Output flange option: İRKF…-FR-SR (flange mounted, solid shaft); SD double shaft</t>
        </is>
      </c>
      <c r="V117" s="11" t="inlineStr">
        <is>
          <t>IRK 2024: ratings p.80; dims p.153-154</t>
        </is>
      </c>
      <c r="W117" s="11" t="inlineStr">
        <is>
          <t>Smallest housing with Sf ≥ 1.5 at 4 kW / 1400 rpm. Ratio deviation -3.4% vs 1:20.</t>
        </is>
      </c>
      <c r="X117" s="13" t="inlineStr">
        <is>
          <t>IRKP 83 – IEC 112 B5 / B14 + single output shaft (foot)</t>
        </is>
      </c>
      <c r="Y117" s="14" t="inlineStr">
        <is>
          <t>p.32 (IRKP series) + p.30 (IRK options)</t>
        </is>
      </c>
      <c r="Z117" s="14" t="inlineStr">
        <is>
          <t>YES</t>
        </is>
      </c>
      <c r="AA117" s="15" t="n">
        <v>1251</v>
      </c>
      <c r="AB117" s="14" t="inlineStr">
        <is>
          <t>IRKP gear unit €1,195.00 + single output shaft €56.00</t>
        </is>
      </c>
      <c r="AC117" s="16">
        <f>ROUND(AA117*(1-$L$2),2)</f>
        <v/>
      </c>
      <c r="AD117" s="17">
        <f>J117*AC117</f>
        <v/>
      </c>
      <c r="AE117" s="14" t="inlineStr">
        <is>
          <t>Output-flange option IRKFP 83 €1,227.00 + output shaft (flange) €64.00 = €1,291.00 → net €839.15</t>
        </is>
      </c>
      <c r="AF117" s="18" t="n"/>
    </row>
    <row r="118">
      <c r="A118" s="8" t="inlineStr">
        <is>
          <t>GB-114</t>
        </is>
      </c>
      <c r="B118" s="8" t="inlineStr">
        <is>
          <t>Helical Bevel</t>
        </is>
      </c>
      <c r="C118" s="8" t="inlineStr">
        <is>
          <t>K / Equivalent</t>
        </is>
      </c>
      <c r="D118" s="8" t="inlineStr">
        <is>
          <t>Supplier selection</t>
        </is>
      </c>
      <c r="E118" s="8" t="n">
        <v>4</v>
      </c>
      <c r="F118" s="8" t="inlineStr">
        <is>
          <t>1:30</t>
        </is>
      </c>
      <c r="G118" s="8" t="inlineStr">
        <is>
          <t>Foot mounted</t>
        </is>
      </c>
      <c r="H118" s="8" t="inlineStr">
        <is>
          <t>Solid output shaft</t>
        </is>
      </c>
      <c r="I118" s="8" t="inlineStr">
        <is>
          <t>IEC motor adaptor/input</t>
        </is>
      </c>
      <c r="J118" s="8" t="n">
        <v>1</v>
      </c>
      <c r="K118" s="9" t="inlineStr">
        <is>
          <t>İRK (helical bevel)</t>
        </is>
      </c>
      <c r="L118" s="10" t="inlineStr">
        <is>
          <t>İRKP 83-SR  i=31.34  + IEC 112 B5 (foot mounted)</t>
        </is>
      </c>
      <c r="M118" s="11" t="inlineStr">
        <is>
          <t>İRKM 83 / 112 M 4b -SR (foot mounted)</t>
        </is>
      </c>
      <c r="N118" s="12" t="n">
        <v>31.34</v>
      </c>
      <c r="O118" s="9" t="n">
        <v>45</v>
      </c>
      <c r="P118" s="9" t="n">
        <v>817</v>
      </c>
      <c r="Q118" s="11" t="inlineStr">
        <is>
          <t>Sf 1.81</t>
        </is>
      </c>
      <c r="R118" s="11" t="inlineStr">
        <is>
          <t>Gearmotor table, 4-pole motor, n1≈1400 rpm</t>
        </is>
      </c>
      <c r="S118" s="11" t="inlineStr">
        <is>
          <t>Solid output shaft (SR/SL), foot mounted</t>
        </is>
      </c>
      <c r="T118" s="11" t="inlineStr">
        <is>
          <t>IEC 112 B5 (motor 112 M 4b)</t>
        </is>
      </c>
      <c r="U118" s="11" t="inlineStr">
        <is>
          <t>Output flange option: İRKF…-FR-SR (flange mounted, solid shaft); SD double shaft</t>
        </is>
      </c>
      <c r="V118" s="11" t="inlineStr">
        <is>
          <t>IRK 2024: ratings p.80; dims p.153-154</t>
        </is>
      </c>
      <c r="W118" s="11" t="inlineStr">
        <is>
          <t>Smallest housing with Sf ≥ 1.5 at 4 kW / 1400 rpm. Ratio deviation +4.5% vs 1:30. Larger alternatives: 93 (i=29.78, Sf=3.2); 103 (i=30.65, Sf=5.3).</t>
        </is>
      </c>
      <c r="X118" s="13" t="inlineStr">
        <is>
          <t>IRKP 83 – IEC 112 B5 / B14 + single output shaft (foot)</t>
        </is>
      </c>
      <c r="Y118" s="14" t="inlineStr">
        <is>
          <t>p.32 (IRKP series) + p.30 (IRK options)</t>
        </is>
      </c>
      <c r="Z118" s="14" t="inlineStr">
        <is>
          <t>YES</t>
        </is>
      </c>
      <c r="AA118" s="15" t="n">
        <v>1251</v>
      </c>
      <c r="AB118" s="14" t="inlineStr">
        <is>
          <t>IRKP gear unit €1,195.00 + single output shaft €56.00</t>
        </is>
      </c>
      <c r="AC118" s="16">
        <f>ROUND(AA118*(1-$L$2),2)</f>
        <v/>
      </c>
      <c r="AD118" s="17">
        <f>J118*AC118</f>
        <v/>
      </c>
      <c r="AE118" s="14" t="inlineStr">
        <is>
          <t>Output-flange option IRKFP 83 €1,227.00 + output shaft (flange) €64.00 = €1,291.00 → net €839.15</t>
        </is>
      </c>
      <c r="AF118" s="18" t="n"/>
    </row>
    <row r="119">
      <c r="A119" s="8" t="inlineStr">
        <is>
          <t>GB-115</t>
        </is>
      </c>
      <c r="B119" s="8" t="inlineStr">
        <is>
          <t>Helical Bevel</t>
        </is>
      </c>
      <c r="C119" s="8" t="inlineStr">
        <is>
          <t>K / Equivalent</t>
        </is>
      </c>
      <c r="D119" s="8" t="inlineStr">
        <is>
          <t>Supplier selection</t>
        </is>
      </c>
      <c r="E119" s="8" t="n">
        <v>5.5</v>
      </c>
      <c r="F119" s="8" t="inlineStr">
        <is>
          <t>1:20</t>
        </is>
      </c>
      <c r="G119" s="8" t="inlineStr">
        <is>
          <t>Foot mounted</t>
        </is>
      </c>
      <c r="H119" s="8" t="inlineStr">
        <is>
          <t>Solid output shaft</t>
        </is>
      </c>
      <c r="I119" s="8" t="inlineStr">
        <is>
          <t>IEC motor adaptor/input</t>
        </is>
      </c>
      <c r="J119" s="8" t="n">
        <v>1</v>
      </c>
      <c r="K119" s="9" t="inlineStr">
        <is>
          <t>İRK (helical bevel)</t>
        </is>
      </c>
      <c r="L119" s="10" t="inlineStr">
        <is>
          <t>İRKP 83-SR  i=19.33  + IEC 132 B5 (foot mounted)</t>
        </is>
      </c>
      <c r="M119" s="11" t="inlineStr">
        <is>
          <t>İRKM 83 / 132 S 4c -SR (foot mounted)</t>
        </is>
      </c>
      <c r="N119" s="12" t="n">
        <v>19.33</v>
      </c>
      <c r="O119" s="9" t="n">
        <v>72</v>
      </c>
      <c r="P119" s="9" t="n">
        <v>693</v>
      </c>
      <c r="Q119" s="11" t="inlineStr">
        <is>
          <t>Sf 2.0</t>
        </is>
      </c>
      <c r="R119" s="11" t="inlineStr">
        <is>
          <t>Gearmotor table, 4-pole motor, n1≈1400 rpm</t>
        </is>
      </c>
      <c r="S119" s="11" t="inlineStr">
        <is>
          <t>Solid output shaft (SR/SL), foot mounted</t>
        </is>
      </c>
      <c r="T119" s="11" t="inlineStr">
        <is>
          <t>IEC 132 B5 (motor 132 S 4c)</t>
        </is>
      </c>
      <c r="U119" s="11" t="inlineStr">
        <is>
          <t>Output flange option: İRKF…-FR-SR (flange mounted, solid shaft); SD double shaft</t>
        </is>
      </c>
      <c r="V119" s="11" t="inlineStr">
        <is>
          <t>IRK 2024: ratings p.83; dims p.153-154</t>
        </is>
      </c>
      <c r="W119" s="11" t="inlineStr">
        <is>
          <t>Smallest housing with Sf ≥ 1.5 at 5.5 kW / 1400 rpm. Ratio deviation -3.4% vs 1:20. Larger alternatives: 93 (i=20.8, Sf=3.3).</t>
        </is>
      </c>
      <c r="X119" s="13" t="inlineStr">
        <is>
          <t>IRKP 83 – IEC 132 B5 / B14 + single output shaft (foot)</t>
        </is>
      </c>
      <c r="Y119" s="14" t="inlineStr">
        <is>
          <t>p.32 (IRKP series) + p.30 (IRK options)</t>
        </is>
      </c>
      <c r="Z119" s="14" t="inlineStr">
        <is>
          <t>YES</t>
        </is>
      </c>
      <c r="AA119" s="15" t="n">
        <v>1266</v>
      </c>
      <c r="AB119" s="14" t="inlineStr">
        <is>
          <t>IRKP gear unit €1,210.00 + single output shaft €56.00</t>
        </is>
      </c>
      <c r="AC119" s="16">
        <f>ROUND(AA119*(1-$L$2),2)</f>
        <v/>
      </c>
      <c r="AD119" s="17">
        <f>J119*AC119</f>
        <v/>
      </c>
      <c r="AE119" s="14" t="inlineStr">
        <is>
          <t>Output-flange option IRKFP 83 €1,242.00 + output shaft (flange) €64.00 = €1,306.00 → net €848.90</t>
        </is>
      </c>
      <c r="AF119" s="18" t="n"/>
    </row>
    <row r="120">
      <c r="A120" s="8" t="inlineStr">
        <is>
          <t>GB-116</t>
        </is>
      </c>
      <c r="B120" s="8" t="inlineStr">
        <is>
          <t>Helical Bevel</t>
        </is>
      </c>
      <c r="C120" s="8" t="inlineStr">
        <is>
          <t>K / Equivalent</t>
        </is>
      </c>
      <c r="D120" s="8" t="inlineStr">
        <is>
          <t>Supplier selection</t>
        </is>
      </c>
      <c r="E120" s="8" t="n">
        <v>5.5</v>
      </c>
      <c r="F120" s="8" t="inlineStr">
        <is>
          <t>1:30</t>
        </is>
      </c>
      <c r="G120" s="8" t="inlineStr">
        <is>
          <t>Foot mounted</t>
        </is>
      </c>
      <c r="H120" s="8" t="inlineStr">
        <is>
          <t>Solid output shaft</t>
        </is>
      </c>
      <c r="I120" s="8" t="inlineStr">
        <is>
          <t>IEC motor adaptor/input</t>
        </is>
      </c>
      <c r="J120" s="8" t="n">
        <v>1</v>
      </c>
      <c r="K120" s="9" t="inlineStr">
        <is>
          <t>İRK (helical bevel)</t>
        </is>
      </c>
      <c r="L120" s="10" t="inlineStr">
        <is>
          <t>İRKP 93-SR  i=29.78  + IEC 132 B5 (foot mounted)</t>
        </is>
      </c>
      <c r="M120" s="11" t="inlineStr">
        <is>
          <t>İRKM 93 / 132 S 4c -SR (foot mounted)</t>
        </is>
      </c>
      <c r="N120" s="12" t="n">
        <v>29.78</v>
      </c>
      <c r="O120" s="9" t="n">
        <v>47</v>
      </c>
      <c r="P120" s="9" t="n">
        <v>1068</v>
      </c>
      <c r="Q120" s="11" t="inlineStr">
        <is>
          <t>Sf 2.4</t>
        </is>
      </c>
      <c r="R120" s="11" t="inlineStr">
        <is>
          <t>Gearmotor table, 4-pole motor, n1≈1400 rpm</t>
        </is>
      </c>
      <c r="S120" s="11" t="inlineStr">
        <is>
          <t>Solid output shaft (SR/SL), foot mounted</t>
        </is>
      </c>
      <c r="T120" s="11" t="inlineStr">
        <is>
          <t>IEC 132 B5 (motor 132 S 4c)</t>
        </is>
      </c>
      <c r="U120" s="11" t="inlineStr">
        <is>
          <t>Output flange option: İRKF…-FR-SR (flange mounted, solid shaft); SD double shaft</t>
        </is>
      </c>
      <c r="V120" s="11" t="inlineStr">
        <is>
          <t>IRK 2024: ratings p.83; dims p.159-160</t>
        </is>
      </c>
      <c r="W120" s="11" t="inlineStr">
        <is>
          <t>Smallest housing with Sf ≥ 1.5 at 5.5 kW / 1400 rpm. Ratio deviation -0.7% vs 1:30. Larger alternatives: 103 (i=30.65, Sf=3.8).</t>
        </is>
      </c>
      <c r="X120" s="13" t="inlineStr">
        <is>
          <t>IRKP 93 – IEC 132 B5 / B14 + single output shaft (foot)</t>
        </is>
      </c>
      <c r="Y120" s="14" t="inlineStr">
        <is>
          <t>p.32 (IRKP series) + p.30 (IRK options)</t>
        </is>
      </c>
      <c r="Z120" s="14" t="inlineStr">
        <is>
          <t>YES</t>
        </is>
      </c>
      <c r="AA120" s="15" t="n">
        <v>1707</v>
      </c>
      <c r="AB120" s="14" t="inlineStr">
        <is>
          <t>IRKP gear unit €1,644.00 + single output shaft €63.00</t>
        </is>
      </c>
      <c r="AC120" s="16">
        <f>ROUND(AA120*(1-$L$2),2)</f>
        <v/>
      </c>
      <c r="AD120" s="17">
        <f>J120*AC120</f>
        <v/>
      </c>
      <c r="AE120" s="14" t="inlineStr">
        <is>
          <t>Output-flange option IRKFP 93 €1,697.00 + output shaft (flange) €81.00 = €1,778.00 → net €1,155.70</t>
        </is>
      </c>
      <c r="AF120" s="18" t="n"/>
    </row>
    <row r="121">
      <c r="A121" s="8" t="inlineStr">
        <is>
          <t>GB-117</t>
        </is>
      </c>
      <c r="B121" s="8" t="inlineStr">
        <is>
          <t>Helical Bevel</t>
        </is>
      </c>
      <c r="C121" s="8" t="inlineStr">
        <is>
          <t>K / Equivalent</t>
        </is>
      </c>
      <c r="D121" s="8" t="inlineStr">
        <is>
          <t>Supplier selection</t>
        </is>
      </c>
      <c r="E121" s="8" t="n">
        <v>7.5</v>
      </c>
      <c r="F121" s="8" t="inlineStr">
        <is>
          <t>1:20</t>
        </is>
      </c>
      <c r="G121" s="8" t="inlineStr">
        <is>
          <t>Foot mounted</t>
        </is>
      </c>
      <c r="H121" s="8" t="inlineStr">
        <is>
          <t>Solid output shaft</t>
        </is>
      </c>
      <c r="I121" s="8" t="inlineStr">
        <is>
          <t>IEC motor adaptor/input</t>
        </is>
      </c>
      <c r="J121" s="8" t="n">
        <v>1</v>
      </c>
      <c r="K121" s="9" t="inlineStr">
        <is>
          <t>İRK (helical bevel)</t>
        </is>
      </c>
      <c r="L121" s="10" t="inlineStr">
        <is>
          <t>İRKP 93-SR  i=20.8  + IEC 132 B5 (foot mounted)</t>
        </is>
      </c>
      <c r="M121" s="11" t="inlineStr">
        <is>
          <t>İRKM 93 / 132 M 4b -SR (foot mounted)</t>
        </is>
      </c>
      <c r="N121" s="12" t="n">
        <v>20.8</v>
      </c>
      <c r="O121" s="9" t="n">
        <v>67</v>
      </c>
      <c r="P121" s="9" t="n">
        <v>1017</v>
      </c>
      <c r="Q121" s="11" t="inlineStr">
        <is>
          <t>Sf 2.4</t>
        </is>
      </c>
      <c r="R121" s="11" t="inlineStr">
        <is>
          <t>Gearmotor table, 4-pole motor, n1≈1400 rpm</t>
        </is>
      </c>
      <c r="S121" s="11" t="inlineStr">
        <is>
          <t>Solid output shaft (SR/SL), foot mounted</t>
        </is>
      </c>
      <c r="T121" s="11" t="inlineStr">
        <is>
          <t>IEC 132 B5 (motor 132 M 4b)</t>
        </is>
      </c>
      <c r="U121" s="11" t="inlineStr">
        <is>
          <t>Output flange option: İRKF…-FR-SR (flange mounted, solid shaft); SD double shaft</t>
        </is>
      </c>
      <c r="V121" s="11" t="inlineStr">
        <is>
          <t>IRK 2024: ratings p.86; dims p.159-160</t>
        </is>
      </c>
      <c r="W121" s="11" t="inlineStr">
        <is>
          <t>Smallest housing with Sf ≥ 1.5 at 7.5 kW / 1400 rpm. Ratio deviation +4.0% vs 1:20. Larger alternatives: 103 (i=20.6, Sf=4.2).</t>
        </is>
      </c>
      <c r="X121" s="13" t="inlineStr">
        <is>
          <t>IRKP 93 – IEC 132 B5 / B14 + single output shaft (foot)</t>
        </is>
      </c>
      <c r="Y121" s="14" t="inlineStr">
        <is>
          <t>p.32 (IRKP series) + p.30 (IRK options)</t>
        </is>
      </c>
      <c r="Z121" s="14" t="inlineStr">
        <is>
          <t>YES</t>
        </is>
      </c>
      <c r="AA121" s="15" t="n">
        <v>1707</v>
      </c>
      <c r="AB121" s="14" t="inlineStr">
        <is>
          <t>IRKP gear unit €1,644.00 + single output shaft €63.00</t>
        </is>
      </c>
      <c r="AC121" s="16">
        <f>ROUND(AA121*(1-$L$2),2)</f>
        <v/>
      </c>
      <c r="AD121" s="17">
        <f>J121*AC121</f>
        <v/>
      </c>
      <c r="AE121" s="14" t="inlineStr">
        <is>
          <t>Output-flange option IRKFP 93 €1,697.00 + output shaft (flange) €81.00 = €1,778.00 → net €1,155.70</t>
        </is>
      </c>
      <c r="AF121" s="18" t="n"/>
    </row>
    <row r="122">
      <c r="A122" s="8" t="inlineStr">
        <is>
          <t>GB-118</t>
        </is>
      </c>
      <c r="B122" s="8" t="inlineStr">
        <is>
          <t>Helical Bevel</t>
        </is>
      </c>
      <c r="C122" s="8" t="inlineStr">
        <is>
          <t>K / Equivalent</t>
        </is>
      </c>
      <c r="D122" s="8" t="inlineStr">
        <is>
          <t>Supplier selection</t>
        </is>
      </c>
      <c r="E122" s="8" t="n">
        <v>11</v>
      </c>
      <c r="F122" s="8" t="inlineStr">
        <is>
          <t>1:30</t>
        </is>
      </c>
      <c r="G122" s="8" t="inlineStr">
        <is>
          <t>Foot mounted</t>
        </is>
      </c>
      <c r="H122" s="8" t="inlineStr">
        <is>
          <t>Solid output shaft</t>
        </is>
      </c>
      <c r="I122" s="8" t="inlineStr">
        <is>
          <t>IEC motor adaptor/input</t>
        </is>
      </c>
      <c r="J122" s="8" t="n">
        <v>1</v>
      </c>
      <c r="K122" s="9" t="inlineStr">
        <is>
          <t>İRK (helical bevel)</t>
        </is>
      </c>
      <c r="L122" s="10" t="inlineStr">
        <is>
          <t>İRKP 103-SR  i=30.65  + IEC 160 B5 (foot mounted)</t>
        </is>
      </c>
      <c r="M122" s="11" t="inlineStr">
        <is>
          <t>İRKM 103 / 160 M 4b -SR (foot mounted)</t>
        </is>
      </c>
      <c r="N122" s="12" t="n">
        <v>30.65</v>
      </c>
      <c r="O122" s="9" t="n">
        <v>46</v>
      </c>
      <c r="P122" s="9" t="n">
        <v>2198</v>
      </c>
      <c r="Q122" s="11" t="inlineStr">
        <is>
          <t>Sf 1.9</t>
        </is>
      </c>
      <c r="R122" s="11" t="inlineStr">
        <is>
          <t>Gearmotor table, 4-pole motor, n1≈1400 rpm</t>
        </is>
      </c>
      <c r="S122" s="11" t="inlineStr">
        <is>
          <t>Solid output shaft (SR/SL), foot mounted</t>
        </is>
      </c>
      <c r="T122" s="11" t="inlineStr">
        <is>
          <t>IEC 160 B5 (motor 160 M 4b)</t>
        </is>
      </c>
      <c r="U122" s="11" t="inlineStr">
        <is>
          <t>Output flange option: İRKF…-FR-SR (flange mounted, solid shaft); SD double shaft</t>
        </is>
      </c>
      <c r="V122" s="11" t="inlineStr">
        <is>
          <t>IRK 2024: ratings p.88; dims p.165-166</t>
        </is>
      </c>
      <c r="W122" s="11" t="inlineStr">
        <is>
          <t>Smallest housing with Sf ≥ 1.5 at 11 kW / 1400 rpm. Ratio deviation +2.2% vs 1:30. Larger alternatives: 123 (i=30.13, Sf=3.3).</t>
        </is>
      </c>
      <c r="X122" s="13" t="inlineStr">
        <is>
          <t>IRKP 103 – IEC 160 B5 / B14 + single output shaft (foot)</t>
        </is>
      </c>
      <c r="Y122" s="14" t="inlineStr">
        <is>
          <t>p.33 (IRKP series) + p.30 (IRK options)</t>
        </is>
      </c>
      <c r="Z122" s="14" t="inlineStr">
        <is>
          <t>YES</t>
        </is>
      </c>
      <c r="AA122" s="15" t="n">
        <v>2573</v>
      </c>
      <c r="AB122" s="14" t="inlineStr">
        <is>
          <t>IRKP gear unit €2,505.00 + single output shaft €68.00</t>
        </is>
      </c>
      <c r="AC122" s="16">
        <f>ROUND(AA122*(1-$L$2),2)</f>
        <v/>
      </c>
      <c r="AD122" s="17">
        <f>J122*AC122</f>
        <v/>
      </c>
      <c r="AE122" s="14" t="inlineStr">
        <is>
          <t>Output-flange option IRKFP 103 €2,614.00 + output shaft (flange) €88.00 = €2,702.00 → net €1,756.30</t>
        </is>
      </c>
      <c r="AF122" s="18" t="n"/>
    </row>
    <row r="123">
      <c r="A123" s="8" t="inlineStr">
        <is>
          <t>GB-119</t>
        </is>
      </c>
      <c r="B123" s="8" t="inlineStr">
        <is>
          <t>Helical Bevel</t>
        </is>
      </c>
      <c r="C123" s="8" t="inlineStr">
        <is>
          <t>K / Equivalent</t>
        </is>
      </c>
      <c r="D123" s="8" t="inlineStr">
        <is>
          <t>Supplier selection</t>
        </is>
      </c>
      <c r="E123" s="8" t="n">
        <v>15</v>
      </c>
      <c r="F123" s="8" t="inlineStr">
        <is>
          <t>1:30</t>
        </is>
      </c>
      <c r="G123" s="8" t="inlineStr">
        <is>
          <t>Foot mounted</t>
        </is>
      </c>
      <c r="H123" s="8" t="inlineStr">
        <is>
          <t>Solid output shaft</t>
        </is>
      </c>
      <c r="I123" s="8" t="inlineStr">
        <is>
          <t>IEC motor adaptor/input</t>
        </is>
      </c>
      <c r="J123" s="8" t="n">
        <v>1</v>
      </c>
      <c r="K123" s="9" t="inlineStr">
        <is>
          <t>İRK (helical bevel)</t>
        </is>
      </c>
      <c r="L123" s="10" t="inlineStr">
        <is>
          <t>İRKP 123-SR  i=30.13  + IEC 160 B5 (foot mounted)</t>
        </is>
      </c>
      <c r="M123" s="11" t="inlineStr">
        <is>
          <t>İRKM 123 / 160 L 4a -SR (foot mounted)</t>
        </is>
      </c>
      <c r="N123" s="12" t="n">
        <v>30.13</v>
      </c>
      <c r="O123" s="9" t="n">
        <v>46</v>
      </c>
      <c r="P123" s="9" t="n">
        <v>2946</v>
      </c>
      <c r="Q123" s="11" t="inlineStr">
        <is>
          <t>Sf 2.4</t>
        </is>
      </c>
      <c r="R123" s="11" t="inlineStr">
        <is>
          <t>Gearmotor table, 4-pole motor, n1≈1400 rpm</t>
        </is>
      </c>
      <c r="S123" s="11" t="inlineStr">
        <is>
          <t>Solid output shaft (SR/SL), foot mounted</t>
        </is>
      </c>
      <c r="T123" s="11" t="inlineStr">
        <is>
          <t>IEC 160 B5 (motor 160 L 4a)</t>
        </is>
      </c>
      <c r="U123" s="11" t="inlineStr">
        <is>
          <t>Output flange option: İRKF…-FR-SR (flange mounted, solid shaft); SD double shaft</t>
        </is>
      </c>
      <c r="V123" s="11" t="inlineStr">
        <is>
          <t>IRK 2024: ratings p.89; dims p.171-172</t>
        </is>
      </c>
      <c r="W123" s="11" t="inlineStr">
        <is>
          <t>Smallest housing with Sf ≥ 1.5 at 15 kW / 1400 rpm. Ratio deviation +0.4% vs 1:30.</t>
        </is>
      </c>
      <c r="X123" s="13" t="inlineStr">
        <is>
          <t>IRKP 123 – IEC 160 B5 + single output shaft (foot)</t>
        </is>
      </c>
      <c r="Y123" s="14" t="inlineStr">
        <is>
          <t>p.33 (IRKP series) + p.30 (IRK options)</t>
        </is>
      </c>
      <c r="Z123" s="14" t="inlineStr">
        <is>
          <t>YES</t>
        </is>
      </c>
      <c r="AA123" s="15" t="n">
        <v>3987</v>
      </c>
      <c r="AB123" s="14" t="inlineStr">
        <is>
          <t>IRKP gear unit €3,876.00 + single output shaft €111.00</t>
        </is>
      </c>
      <c r="AC123" s="16">
        <f>ROUND(AA123*(1-$L$2),2)</f>
        <v/>
      </c>
      <c r="AD123" s="17">
        <f>J123*AC123</f>
        <v/>
      </c>
      <c r="AE123" s="14" t="inlineStr">
        <is>
          <t>Output-flange option IRKFP 123 €4,041.00 + output shaft (flange) €138.00 = €4,179.00 → net €2,716.35</t>
        </is>
      </c>
      <c r="AF123" s="18" t="n"/>
    </row>
    <row r="124">
      <c r="A124" s="8" t="inlineStr">
        <is>
          <t>GB-120</t>
        </is>
      </c>
      <c r="B124" s="8" t="inlineStr">
        <is>
          <t>Helical Bevel</t>
        </is>
      </c>
      <c r="C124" s="8" t="inlineStr">
        <is>
          <t>K / Equivalent</t>
        </is>
      </c>
      <c r="D124" s="8" t="inlineStr">
        <is>
          <t>Supplier selection</t>
        </is>
      </c>
      <c r="E124" s="8" t="n">
        <v>22</v>
      </c>
      <c r="F124" s="8" t="inlineStr">
        <is>
          <t>1:40</t>
        </is>
      </c>
      <c r="G124" s="8" t="inlineStr">
        <is>
          <t>Foot mounted</t>
        </is>
      </c>
      <c r="H124" s="8" t="inlineStr">
        <is>
          <t>Solid output shaft</t>
        </is>
      </c>
      <c r="I124" s="8" t="inlineStr">
        <is>
          <t>IEC motor adaptor/input</t>
        </is>
      </c>
      <c r="J124" s="8" t="n">
        <v>1</v>
      </c>
      <c r="K124" s="9" t="inlineStr">
        <is>
          <t>İRK (helical bevel)</t>
        </is>
      </c>
      <c r="L124" s="10" t="inlineStr">
        <is>
          <t>İRKP 143-SR  i=41.15  + IEC 180 B5 (foot mounted)</t>
        </is>
      </c>
      <c r="M124" s="11" t="inlineStr">
        <is>
          <t>İRKM 143 / 180 L 4b -SR (foot mounted)</t>
        </is>
      </c>
      <c r="N124" s="12" t="n">
        <v>41.15</v>
      </c>
      <c r="O124" s="9" t="n">
        <v>34</v>
      </c>
      <c r="P124" s="9" t="n">
        <v>5902</v>
      </c>
      <c r="Q124" s="11" t="inlineStr">
        <is>
          <t>Sf 2.2</t>
        </is>
      </c>
      <c r="R124" s="11" t="inlineStr">
        <is>
          <t>Gearmotor table, 4-pole motor, n1≈1400 rpm</t>
        </is>
      </c>
      <c r="S124" s="11" t="inlineStr">
        <is>
          <t>Solid output shaft (SR/SL), foot mounted</t>
        </is>
      </c>
      <c r="T124" s="11" t="inlineStr">
        <is>
          <t>IEC 180 B5 (motor 180 L 4b)</t>
        </is>
      </c>
      <c r="U124" s="11" t="inlineStr">
        <is>
          <t>Output flange option: İRKF…-FR-SR (flange mounted, solid shaft); SD double shaft</t>
        </is>
      </c>
      <c r="V124" s="11" t="inlineStr">
        <is>
          <t>IRK 2024: ratings p.92; dims p.177-178</t>
        </is>
      </c>
      <c r="W124" s="11" t="inlineStr">
        <is>
          <t>Smallest housing with Sf ≥ 1.5 at 22 kW / 1400 rpm. Ratio deviation +2.9% vs 1:40. Larger alternatives: 153 (i=41.99, Sf=3.0).</t>
        </is>
      </c>
      <c r="X124" s="13" t="inlineStr">
        <is>
          <t>IRKP 143 – IEC 180 B5 + single output shaft (foot)</t>
        </is>
      </c>
      <c r="Y124" s="14" t="inlineStr">
        <is>
          <t>p.34 (IRKP series) + p.30 (IRK options)</t>
        </is>
      </c>
      <c r="Z124" s="14" t="inlineStr">
        <is>
          <t>YES</t>
        </is>
      </c>
      <c r="AA124" s="15" t="n">
        <v>6087</v>
      </c>
      <c r="AB124" s="14" t="inlineStr">
        <is>
          <t>IRKP gear unit €5,913.00 + single output shaft €174.00</t>
        </is>
      </c>
      <c r="AC124" s="16">
        <f>ROUND(AA124*(1-$L$2),2)</f>
        <v/>
      </c>
      <c r="AD124" s="17">
        <f>J124*AC124</f>
        <v/>
      </c>
      <c r="AE124" s="14" t="inlineStr">
        <is>
          <t>Output-flange option IRKFP 143 €6,167.00 + output shaft (flange) €222.00 = €6,389.00 → net €4,152.85</t>
        </is>
      </c>
      <c r="AF124" s="18" t="n"/>
    </row>
    <row r="125">
      <c r="A125" s="8" t="inlineStr">
        <is>
          <t>GB-121</t>
        </is>
      </c>
      <c r="B125" s="8" t="inlineStr">
        <is>
          <t>Parallel Shaft</t>
        </is>
      </c>
      <c r="C125" s="8" t="inlineStr">
        <is>
          <t>F / Equivalent</t>
        </is>
      </c>
      <c r="D125" s="8" t="inlineStr">
        <is>
          <t>Supplier selection</t>
        </is>
      </c>
      <c r="E125" s="8" t="n">
        <v>1.5</v>
      </c>
      <c r="F125" s="8" t="inlineStr">
        <is>
          <t>1:10</t>
        </is>
      </c>
      <c r="G125" s="8" t="inlineStr">
        <is>
          <t>Torque-arm / universal</t>
        </is>
      </c>
      <c r="H125" s="8" t="inlineStr">
        <is>
          <t>Hollow shaft, keyed</t>
        </is>
      </c>
      <c r="I125" s="8" t="inlineStr">
        <is>
          <t>IEC motor adaptor/input</t>
        </is>
      </c>
      <c r="J125" s="8" t="n">
        <v>1</v>
      </c>
      <c r="K125" s="9" t="inlineStr">
        <is>
          <t>YP (parallel shaft)</t>
        </is>
      </c>
      <c r="L125" s="10" t="inlineStr">
        <is>
          <t>YPP 52-TL  i=9.997  + IEC 90 B5</t>
        </is>
      </c>
      <c r="M125" s="11" t="inlineStr">
        <is>
          <t>YPM 52 / 90 L 4a -TL</t>
        </is>
      </c>
      <c r="N125" s="12" t="n">
        <v>9.997</v>
      </c>
      <c r="O125" s="9" t="n">
        <v>140</v>
      </c>
      <c r="P125" s="9" t="n">
        <v>99</v>
      </c>
      <c r="Q125" s="11" t="inlineStr">
        <is>
          <t>Sf 1.98</t>
        </is>
      </c>
      <c r="R125" s="11" t="inlineStr">
        <is>
          <t>Gearmotor table, 4-pole motor, n1≈1400 rpm</t>
        </is>
      </c>
      <c r="S125" s="11" t="inlineStr">
        <is>
          <t>Hollow shaft, keyed</t>
        </is>
      </c>
      <c r="T125" s="11" t="inlineStr">
        <is>
          <t>IEC 90 B5 (motor 90 L 4a)</t>
        </is>
      </c>
      <c r="U125" s="11" t="inlineStr">
        <is>
          <t>TL torque arm (include); SDL shrink disc option; H retaining washer; OC output cover</t>
        </is>
      </c>
      <c r="V125" s="11" t="inlineStr">
        <is>
          <t>YP 2025: ratings p.68; dims p.139-140</t>
        </is>
      </c>
      <c r="W125" s="11" t="inlineStr">
        <is>
          <t>Smallest housing with Sf ≥ 1.5 at 1.5 kW / 1400 rpm. Ratio deviation -0.0% vs 1:10. Larger alternatives: 62 (i=10.09, Sf=3.7).</t>
        </is>
      </c>
      <c r="X125" s="13" t="inlineStr">
        <is>
          <t>YPP 52 – IEC 90 B5 / B14</t>
        </is>
      </c>
      <c r="Y125" s="14" t="inlineStr">
        <is>
          <t>p.45 (YPP series) + p.44 (YP options)</t>
        </is>
      </c>
      <c r="Z125" s="14" t="inlineStr">
        <is>
          <t>YES</t>
        </is>
      </c>
      <c r="AA125" s="15" t="n">
        <v>294</v>
      </c>
      <c r="AB125" s="14" t="inlineStr">
        <is>
          <t>YPP gear unit with IEC input flange, hollow output shaft</t>
        </is>
      </c>
      <c r="AC125" s="16">
        <f>ROUND(AA125*(1-$L$2),2)</f>
        <v/>
      </c>
      <c r="AD125" s="17">
        <f>J125*AC125</f>
        <v/>
      </c>
      <c r="AE125" s="19" t="inlineStr">
        <is>
          <t>Shrink disc €60.00 → €39.00 (p.1). Torque arm: NOT in the price list, ask İ.Mak (RFQ requires it)</t>
        </is>
      </c>
      <c r="AF125" s="18" t="n"/>
    </row>
    <row r="126">
      <c r="A126" s="8" t="inlineStr">
        <is>
          <t>GB-122</t>
        </is>
      </c>
      <c r="B126" s="8" t="inlineStr">
        <is>
          <t>Parallel Shaft</t>
        </is>
      </c>
      <c r="C126" s="8" t="inlineStr">
        <is>
          <t>F / Equivalent</t>
        </is>
      </c>
      <c r="D126" s="8" t="inlineStr">
        <is>
          <t>Supplier selection</t>
        </is>
      </c>
      <c r="E126" s="8" t="n">
        <v>1.5</v>
      </c>
      <c r="F126" s="8" t="inlineStr">
        <is>
          <t>1:20</t>
        </is>
      </c>
      <c r="G126" s="8" t="inlineStr">
        <is>
          <t>Torque-arm / universal</t>
        </is>
      </c>
      <c r="H126" s="8" t="inlineStr">
        <is>
          <t>Hollow shaft, keyed</t>
        </is>
      </c>
      <c r="I126" s="8" t="inlineStr">
        <is>
          <t>IEC motor adaptor/input</t>
        </is>
      </c>
      <c r="J126" s="8" t="n">
        <v>1</v>
      </c>
      <c r="K126" s="9" t="inlineStr">
        <is>
          <t>YP (parallel shaft)</t>
        </is>
      </c>
      <c r="L126" s="10" t="inlineStr">
        <is>
          <t>YPP 62-TL  i=20.18  + IEC 90 B5</t>
        </is>
      </c>
      <c r="M126" s="11" t="inlineStr">
        <is>
          <t>YPM 62 / 90 L 4a -TL</t>
        </is>
      </c>
      <c r="N126" s="12" t="n">
        <v>20.18</v>
      </c>
      <c r="O126" s="9" t="n">
        <v>69</v>
      </c>
      <c r="P126" s="9" t="n">
        <v>200</v>
      </c>
      <c r="Q126" s="11" t="inlineStr">
        <is>
          <t>Sf 2.1</t>
        </is>
      </c>
      <c r="R126" s="11" t="inlineStr">
        <is>
          <t>Gearmotor table, 4-pole motor, n1≈1400 rpm</t>
        </is>
      </c>
      <c r="S126" s="11" t="inlineStr">
        <is>
          <t>Hollow shaft, keyed</t>
        </is>
      </c>
      <c r="T126" s="11" t="inlineStr">
        <is>
          <t>IEC 90 B5 (motor 90 L 4a)</t>
        </is>
      </c>
      <c r="U126" s="11" t="inlineStr">
        <is>
          <t>TL torque arm (include); SDL shrink disc option; H retaining washer; OC output cover</t>
        </is>
      </c>
      <c r="V126" s="11" t="inlineStr">
        <is>
          <t>YP 2025: ratings p.68; dims p.143-144</t>
        </is>
      </c>
      <c r="W126" s="11" t="inlineStr">
        <is>
          <t>Smallest housing with Sf ≥ 1.5 at 1.5 kW / 1400 rpm. Ratio deviation +0.9% vs 1:20. Larger alternatives: 72 (i=19.89, Sf=4.2).</t>
        </is>
      </c>
      <c r="X126" s="13" t="inlineStr">
        <is>
          <t>YPP 62 – IEC 90 B5 / B14</t>
        </is>
      </c>
      <c r="Y126" s="14" t="inlineStr">
        <is>
          <t>p.45 (YPP series) + p.44 (YP options)</t>
        </is>
      </c>
      <c r="Z126" s="14" t="inlineStr">
        <is>
          <t>YES</t>
        </is>
      </c>
      <c r="AA126" s="15" t="n">
        <v>396</v>
      </c>
      <c r="AB126" s="14" t="inlineStr">
        <is>
          <t>YPP gear unit with IEC input flange, hollow output shaft</t>
        </is>
      </c>
      <c r="AC126" s="16">
        <f>ROUND(AA126*(1-$L$2),2)</f>
        <v/>
      </c>
      <c r="AD126" s="17">
        <f>J126*AC126</f>
        <v/>
      </c>
      <c r="AE126" s="19" t="inlineStr">
        <is>
          <t>Shrink disc €68.00 → €44.20 (p.1). Torque arm: NOT in the price list, ask İ.Mak (RFQ requires it)</t>
        </is>
      </c>
      <c r="AF126" s="18" t="n"/>
    </row>
    <row r="127">
      <c r="A127" s="8" t="inlineStr">
        <is>
          <t>GB-123</t>
        </is>
      </c>
      <c r="B127" s="8" t="inlineStr">
        <is>
          <t>Parallel Shaft</t>
        </is>
      </c>
      <c r="C127" s="8" t="inlineStr">
        <is>
          <t>F / Equivalent</t>
        </is>
      </c>
      <c r="D127" s="8" t="inlineStr">
        <is>
          <t>Supplier selection</t>
        </is>
      </c>
      <c r="E127" s="8" t="n">
        <v>2.2</v>
      </c>
      <c r="F127" s="8" t="inlineStr">
        <is>
          <t>1:15</t>
        </is>
      </c>
      <c r="G127" s="8" t="inlineStr">
        <is>
          <t>Torque-arm / universal</t>
        </is>
      </c>
      <c r="H127" s="8" t="inlineStr">
        <is>
          <t>Hollow shaft, keyed</t>
        </is>
      </c>
      <c r="I127" s="8" t="inlineStr">
        <is>
          <t>IEC motor adaptor/input</t>
        </is>
      </c>
      <c r="J127" s="8" t="n">
        <v>1</v>
      </c>
      <c r="K127" s="9" t="inlineStr">
        <is>
          <t>YP (parallel shaft)</t>
        </is>
      </c>
      <c r="L127" s="10" t="inlineStr">
        <is>
          <t>YPP 62-TL  i=14.78  + IEC 100 B5</t>
        </is>
      </c>
      <c r="M127" s="11" t="inlineStr">
        <is>
          <t>YPM 62 / 100 L 4a -TL</t>
        </is>
      </c>
      <c r="N127" s="12" t="n">
        <v>14.78</v>
      </c>
      <c r="O127" s="9" t="n">
        <v>95</v>
      </c>
      <c r="P127" s="9" t="n">
        <v>215</v>
      </c>
      <c r="Q127" s="11" t="inlineStr">
        <is>
          <t>Sf 1.85</t>
        </is>
      </c>
      <c r="R127" s="11" t="inlineStr">
        <is>
          <t>Gearmotor table, 4-pole motor, n1≈1400 rpm</t>
        </is>
      </c>
      <c r="S127" s="11" t="inlineStr">
        <is>
          <t>Hollow shaft, keyed</t>
        </is>
      </c>
      <c r="T127" s="11" t="inlineStr">
        <is>
          <t>IEC 100 B5 (motor 100 L 4a)</t>
        </is>
      </c>
      <c r="U127" s="11" t="inlineStr">
        <is>
          <t>TL torque arm (include); SDL shrink disc option; H retaining washer; OC output cover</t>
        </is>
      </c>
      <c r="V127" s="11" t="inlineStr">
        <is>
          <t>YP 2025: ratings p.71; dims p.143-144</t>
        </is>
      </c>
      <c r="W127" s="11" t="inlineStr">
        <is>
          <t>Smallest housing with Sf ≥ 1.5 at 2.2 kW / 1400 rpm. Ratio deviation -1.5% vs 1:15. Larger alternatives: 72 (i=15.61, Sf=3.6).</t>
        </is>
      </c>
      <c r="X127" s="13" t="inlineStr">
        <is>
          <t>YPP 62 – IEC 100 B5 / B14</t>
        </is>
      </c>
      <c r="Y127" s="14" t="inlineStr">
        <is>
          <t>p.45 (YPP series) + p.44 (YP options)</t>
        </is>
      </c>
      <c r="Z127" s="14" t="inlineStr">
        <is>
          <t>YES</t>
        </is>
      </c>
      <c r="AA127" s="15" t="n">
        <v>411</v>
      </c>
      <c r="AB127" s="14" t="inlineStr">
        <is>
          <t>YPP gear unit with IEC input flange, hollow output shaft</t>
        </is>
      </c>
      <c r="AC127" s="16">
        <f>ROUND(AA127*(1-$L$2),2)</f>
        <v/>
      </c>
      <c r="AD127" s="17">
        <f>J127*AC127</f>
        <v/>
      </c>
      <c r="AE127" s="19" t="inlineStr">
        <is>
          <t>Shrink disc €68.00 → €44.20 (p.1). Torque arm: NOT in the price list, ask İ.Mak (RFQ requires it)</t>
        </is>
      </c>
      <c r="AF127" s="18" t="n"/>
    </row>
    <row r="128">
      <c r="A128" s="8" t="inlineStr">
        <is>
          <t>GB-124</t>
        </is>
      </c>
      <c r="B128" s="8" t="inlineStr">
        <is>
          <t>Parallel Shaft</t>
        </is>
      </c>
      <c r="C128" s="8" t="inlineStr">
        <is>
          <t>F / Equivalent</t>
        </is>
      </c>
      <c r="D128" s="8" t="inlineStr">
        <is>
          <t>Supplier selection</t>
        </is>
      </c>
      <c r="E128" s="8" t="n">
        <v>2.2</v>
      </c>
      <c r="F128" s="8" t="inlineStr">
        <is>
          <t>1:30</t>
        </is>
      </c>
      <c r="G128" s="8" t="inlineStr">
        <is>
          <t>Torque-arm / universal</t>
        </is>
      </c>
      <c r="H128" s="8" t="inlineStr">
        <is>
          <t>Hollow shaft, keyed</t>
        </is>
      </c>
      <c r="I128" s="8" t="inlineStr">
        <is>
          <t>IEC motor adaptor/input</t>
        </is>
      </c>
      <c r="J128" s="8" t="n">
        <v>1</v>
      </c>
      <c r="K128" s="9" t="inlineStr">
        <is>
          <t>YP (parallel shaft)</t>
        </is>
      </c>
      <c r="L128" s="10" t="inlineStr">
        <is>
          <t>YPP 73-TL  i=29.69  + IEC 100 B5</t>
        </is>
      </c>
      <c r="M128" s="11" t="inlineStr">
        <is>
          <t>YPM 73 / 100 L 4a -TL</t>
        </is>
      </c>
      <c r="N128" s="12" t="n">
        <v>29.69</v>
      </c>
      <c r="O128" s="9" t="n">
        <v>47</v>
      </c>
      <c r="P128" s="9" t="n">
        <v>426</v>
      </c>
      <c r="Q128" s="11" t="inlineStr">
        <is>
          <t>Sf 1.85</t>
        </is>
      </c>
      <c r="R128" s="11" t="inlineStr">
        <is>
          <t>Gearmotor table, 4-pole motor, n1≈1400 rpm</t>
        </is>
      </c>
      <c r="S128" s="11" t="inlineStr">
        <is>
          <t>Hollow shaft, keyed</t>
        </is>
      </c>
      <c r="T128" s="11" t="inlineStr">
        <is>
          <t>IEC 100 B5 (motor 100 L 4a)</t>
        </is>
      </c>
      <c r="U128" s="11" t="inlineStr">
        <is>
          <t>TL torque arm (include); SDL shrink disc option; H retaining washer; OC output cover</t>
        </is>
      </c>
      <c r="V128" s="11" t="inlineStr">
        <is>
          <t>YP 2025: ratings p.71; dims p.147-148</t>
        </is>
      </c>
      <c r="W128" s="11" t="inlineStr">
        <is>
          <t>Smallest housing with Sf ≥ 1.5 at 2.2 kW / 1400 rpm. Ratio deviation -1.0% vs 1:30. Larger alternatives: 83 (i=30.34, Sf=3.5).</t>
        </is>
      </c>
      <c r="X128" s="13" t="inlineStr">
        <is>
          <t>YPP 73 – IEC 100 B5 / B14</t>
        </is>
      </c>
      <c r="Y128" s="14" t="inlineStr">
        <is>
          <t>p.45 (YPP series) + p.44 (YP options)</t>
        </is>
      </c>
      <c r="Z128" s="14" t="inlineStr">
        <is>
          <t>YES</t>
        </is>
      </c>
      <c r="AA128" s="15" t="n">
        <v>609</v>
      </c>
      <c r="AB128" s="14" t="inlineStr">
        <is>
          <t>YPP gear unit with IEC input flange, hollow output shaft</t>
        </is>
      </c>
      <c r="AC128" s="16">
        <f>ROUND(AA128*(1-$L$2),2)</f>
        <v/>
      </c>
      <c r="AD128" s="17">
        <f>J128*AC128</f>
        <v/>
      </c>
      <c r="AE128" s="19" t="inlineStr">
        <is>
          <t>Shrink disc €103.00 → €66.95 (p.1). Torque arm: NOT in the price list, ask İ.Mak (RFQ requires it)</t>
        </is>
      </c>
      <c r="AF128" s="18" t="n"/>
    </row>
    <row r="129">
      <c r="A129" s="8" t="inlineStr">
        <is>
          <t>GB-125</t>
        </is>
      </c>
      <c r="B129" s="8" t="inlineStr">
        <is>
          <t>Parallel Shaft</t>
        </is>
      </c>
      <c r="C129" s="8" t="inlineStr">
        <is>
          <t>F / Equivalent</t>
        </is>
      </c>
      <c r="D129" s="8" t="inlineStr">
        <is>
          <t>Supplier selection</t>
        </is>
      </c>
      <c r="E129" s="8" t="n">
        <v>3</v>
      </c>
      <c r="F129" s="8" t="inlineStr">
        <is>
          <t>1:20</t>
        </is>
      </c>
      <c r="G129" s="8" t="inlineStr">
        <is>
          <t>Torque-arm / universal</t>
        </is>
      </c>
      <c r="H129" s="8" t="inlineStr">
        <is>
          <t>Hollow shaft, keyed</t>
        </is>
      </c>
      <c r="I129" s="8" t="inlineStr">
        <is>
          <t>IEC motor adaptor/input</t>
        </is>
      </c>
      <c r="J129" s="8" t="n">
        <v>1</v>
      </c>
      <c r="K129" s="9" t="inlineStr">
        <is>
          <t>YP (parallel shaft)</t>
        </is>
      </c>
      <c r="L129" s="10" t="inlineStr">
        <is>
          <t>YPP 72-TL  i=19.89  + IEC 100 B5</t>
        </is>
      </c>
      <c r="M129" s="11" t="inlineStr">
        <is>
          <t>YPM 72 / 100 L 4b -TL</t>
        </is>
      </c>
      <c r="N129" s="12" t="n">
        <v>19.89</v>
      </c>
      <c r="O129" s="9" t="n">
        <v>70</v>
      </c>
      <c r="P129" s="9" t="n">
        <v>395</v>
      </c>
      <c r="Q129" s="11" t="inlineStr">
        <is>
          <t>Sf 2.1</t>
        </is>
      </c>
      <c r="R129" s="11" t="inlineStr">
        <is>
          <t>Gearmotor table, 4-pole motor, n1≈1400 rpm</t>
        </is>
      </c>
      <c r="S129" s="11" t="inlineStr">
        <is>
          <t>Hollow shaft, keyed</t>
        </is>
      </c>
      <c r="T129" s="11" t="inlineStr">
        <is>
          <t>IEC 100 B5 (motor 100 L 4b)</t>
        </is>
      </c>
      <c r="U129" s="11" t="inlineStr">
        <is>
          <t>TL torque arm (include); SDL shrink disc option; H retaining washer; OC output cover</t>
        </is>
      </c>
      <c r="V129" s="11" t="inlineStr">
        <is>
          <t>YP 2025: ratings p.74; dims p.147-148</t>
        </is>
      </c>
      <c r="W129" s="11" t="inlineStr">
        <is>
          <t>Smallest housing with Sf ≥ 1.5 at 3 kW / 1400 rpm. Ratio deviation -0.5% vs 1:20. Larger alternatives: 82 (i=20.69, Sf=3.1).</t>
        </is>
      </c>
      <c r="X129" s="13" t="inlineStr">
        <is>
          <t>YPP 72 – IEC 100 B5 / B14</t>
        </is>
      </c>
      <c r="Y129" s="14" t="inlineStr">
        <is>
          <t>p.45 (YPP series) + p.44 (YP options)</t>
        </is>
      </c>
      <c r="Z129" s="14" t="inlineStr">
        <is>
          <t>YES</t>
        </is>
      </c>
      <c r="AA129" s="15" t="n">
        <v>589</v>
      </c>
      <c r="AB129" s="14" t="inlineStr">
        <is>
          <t>YPP gear unit with IEC input flange, hollow output shaft</t>
        </is>
      </c>
      <c r="AC129" s="16">
        <f>ROUND(AA129*(1-$L$2),2)</f>
        <v/>
      </c>
      <c r="AD129" s="17">
        <f>J129*AC129</f>
        <v/>
      </c>
      <c r="AE129" s="19" t="inlineStr">
        <is>
          <t>Shrink disc €103.00 → €66.95 (p.1). Torque arm: NOT in the price list, ask İ.Mak (RFQ requires it)</t>
        </is>
      </c>
      <c r="AF129" s="18" t="n"/>
    </row>
    <row r="130">
      <c r="A130" s="8" t="inlineStr">
        <is>
          <t>GB-126</t>
        </is>
      </c>
      <c r="B130" s="8" t="inlineStr">
        <is>
          <t>Parallel Shaft</t>
        </is>
      </c>
      <c r="C130" s="8" t="inlineStr">
        <is>
          <t>F / Equivalent</t>
        </is>
      </c>
      <c r="D130" s="8" t="inlineStr">
        <is>
          <t>Supplier selection</t>
        </is>
      </c>
      <c r="E130" s="8" t="n">
        <v>3</v>
      </c>
      <c r="F130" s="8" t="inlineStr">
        <is>
          <t>1:40</t>
        </is>
      </c>
      <c r="G130" s="8" t="inlineStr">
        <is>
          <t>Torque-arm / universal</t>
        </is>
      </c>
      <c r="H130" s="8" t="inlineStr">
        <is>
          <t>Hollow shaft, keyed</t>
        </is>
      </c>
      <c r="I130" s="8" t="inlineStr">
        <is>
          <t>IEC motor adaptor/input</t>
        </is>
      </c>
      <c r="J130" s="8" t="n">
        <v>1</v>
      </c>
      <c r="K130" s="9" t="inlineStr">
        <is>
          <t>YP (parallel shaft)</t>
        </is>
      </c>
      <c r="L130" s="10" t="inlineStr">
        <is>
          <t>YPP 83-TL  i=42.58  + IEC 100 B5</t>
        </is>
      </c>
      <c r="M130" s="11" t="inlineStr">
        <is>
          <t>YPM 83 / 100 L 4b -TL</t>
        </is>
      </c>
      <c r="N130" s="12" t="n">
        <v>42.58</v>
      </c>
      <c r="O130" s="9" t="n">
        <v>33</v>
      </c>
      <c r="P130" s="9" t="n">
        <v>833</v>
      </c>
      <c r="Q130" s="11" t="inlineStr">
        <is>
          <t>Sf 1.85</t>
        </is>
      </c>
      <c r="R130" s="11" t="inlineStr">
        <is>
          <t>Gearmotor table, 4-pole motor, n1≈1400 rpm</t>
        </is>
      </c>
      <c r="S130" s="11" t="inlineStr">
        <is>
          <t>Hollow shaft, keyed</t>
        </is>
      </c>
      <c r="T130" s="11" t="inlineStr">
        <is>
          <t>IEC 100 B5 (motor 100 L 4b)</t>
        </is>
      </c>
      <c r="U130" s="11" t="inlineStr">
        <is>
          <t>TL torque arm (include); SDL shrink disc option; H retaining washer; OC output cover</t>
        </is>
      </c>
      <c r="V130" s="11" t="inlineStr">
        <is>
          <t>YP 2025: ratings p.74; dims p.153-154</t>
        </is>
      </c>
      <c r="W130" s="11" t="inlineStr">
        <is>
          <t>Smallest housing with Sf ≥ 1.5 at 3 kW / 1400 rpm. Ratio deviation +6.4% vs 1:40.</t>
        </is>
      </c>
      <c r="X130" s="13" t="inlineStr">
        <is>
          <t>YPP 83 – IEC 100 B5 / B14</t>
        </is>
      </c>
      <c r="Y130" s="14" t="inlineStr">
        <is>
          <t>p.46 (YPP series) + p.44 (YP options)</t>
        </is>
      </c>
      <c r="Z130" s="14" t="inlineStr">
        <is>
          <t>YES</t>
        </is>
      </c>
      <c r="AA130" s="15" t="n">
        <v>919</v>
      </c>
      <c r="AB130" s="14" t="inlineStr">
        <is>
          <t>YPP gear unit with IEC input flange, hollow output shaft</t>
        </is>
      </c>
      <c r="AC130" s="16">
        <f>ROUND(AA130*(1-$L$2),2)</f>
        <v/>
      </c>
      <c r="AD130" s="17">
        <f>J130*AC130</f>
        <v/>
      </c>
      <c r="AE130" s="19" t="inlineStr">
        <is>
          <t>Shrink disc €162.00 → €105.30 (p.1). Torque arm: NOT in the price list, ask İ.Mak (RFQ requires it)</t>
        </is>
      </c>
      <c r="AF130" s="18" t="n"/>
    </row>
    <row r="131">
      <c r="A131" s="8" t="inlineStr">
        <is>
          <t>GB-127</t>
        </is>
      </c>
      <c r="B131" s="8" t="inlineStr">
        <is>
          <t>Parallel Shaft</t>
        </is>
      </c>
      <c r="C131" s="8" t="inlineStr">
        <is>
          <t>F / Equivalent</t>
        </is>
      </c>
      <c r="D131" s="8" t="inlineStr">
        <is>
          <t>Supplier selection</t>
        </is>
      </c>
      <c r="E131" s="8" t="n">
        <v>4</v>
      </c>
      <c r="F131" s="8" t="inlineStr">
        <is>
          <t>1:20</t>
        </is>
      </c>
      <c r="G131" s="8" t="inlineStr">
        <is>
          <t>Torque-arm / universal</t>
        </is>
      </c>
      <c r="H131" s="8" t="inlineStr">
        <is>
          <t>Hollow shaft, keyed</t>
        </is>
      </c>
      <c r="I131" s="8" t="inlineStr">
        <is>
          <t>IEC motor adaptor/input</t>
        </is>
      </c>
      <c r="J131" s="8" t="n">
        <v>1</v>
      </c>
      <c r="K131" s="9" t="inlineStr">
        <is>
          <t>YP (parallel shaft)</t>
        </is>
      </c>
      <c r="L131" s="10" t="inlineStr">
        <is>
          <t>YPP 72-TL  i=19.89  + IEC 112 B5</t>
        </is>
      </c>
      <c r="M131" s="11" t="inlineStr">
        <is>
          <t>YPM 72 / 112 M 4a -TL</t>
        </is>
      </c>
      <c r="N131" s="12" t="n">
        <v>19.89</v>
      </c>
      <c r="O131" s="9" t="n">
        <v>70</v>
      </c>
      <c r="P131" s="9" t="n">
        <v>526</v>
      </c>
      <c r="Q131" s="11" t="inlineStr">
        <is>
          <t>Sf 1.57</t>
        </is>
      </c>
      <c r="R131" s="11" t="inlineStr">
        <is>
          <t>Gearmotor table, 4-pole motor, n1≈1400 rpm</t>
        </is>
      </c>
      <c r="S131" s="11" t="inlineStr">
        <is>
          <t>Hollow shaft, keyed</t>
        </is>
      </c>
      <c r="T131" s="11" t="inlineStr">
        <is>
          <t>IEC 112 B5 (motor 112 M 4a)</t>
        </is>
      </c>
      <c r="U131" s="11" t="inlineStr">
        <is>
          <t>TL torque arm (include); SDL shrink disc option; H retaining washer; OC output cover</t>
        </is>
      </c>
      <c r="V131" s="11" t="inlineStr">
        <is>
          <t>YP 2025: ratings p.77; dims p.147-148</t>
        </is>
      </c>
      <c r="W131" s="11" t="inlineStr">
        <is>
          <t>Smallest housing with Sf ≥ 1.5 at 4 kW / 1400 rpm. Ratio deviation -0.5% vs 1:20. Larger alternatives: 82 (i=20.69, Sf=2.3).</t>
        </is>
      </c>
      <c r="X131" s="13" t="inlineStr">
        <is>
          <t>YPP 72 – IEC 112 B5 / B14</t>
        </is>
      </c>
      <c r="Y131" s="14" t="inlineStr">
        <is>
          <t>p.45 (YPP series) + p.44 (YP options)</t>
        </is>
      </c>
      <c r="Z131" s="14" t="inlineStr">
        <is>
          <t>YES</t>
        </is>
      </c>
      <c r="AA131" s="15" t="n">
        <v>589</v>
      </c>
      <c r="AB131" s="14" t="inlineStr">
        <is>
          <t>YPP gear unit with IEC input flange, hollow output shaft</t>
        </is>
      </c>
      <c r="AC131" s="16">
        <f>ROUND(AA131*(1-$L$2),2)</f>
        <v/>
      </c>
      <c r="AD131" s="17">
        <f>J131*AC131</f>
        <v/>
      </c>
      <c r="AE131" s="19" t="inlineStr">
        <is>
          <t>Shrink disc €103.00 → €66.95 (p.1). Torque arm: NOT in the price list, ask İ.Mak (RFQ requires it)</t>
        </is>
      </c>
      <c r="AF131" s="18" t="n"/>
    </row>
    <row r="132">
      <c r="A132" s="8" t="inlineStr">
        <is>
          <t>GB-128</t>
        </is>
      </c>
      <c r="B132" s="8" t="inlineStr">
        <is>
          <t>Parallel Shaft</t>
        </is>
      </c>
      <c r="C132" s="8" t="inlineStr">
        <is>
          <t>F / Equivalent</t>
        </is>
      </c>
      <c r="D132" s="8" t="inlineStr">
        <is>
          <t>Supplier selection</t>
        </is>
      </c>
      <c r="E132" s="8" t="n">
        <v>4</v>
      </c>
      <c r="F132" s="8" t="inlineStr">
        <is>
          <t>1:30</t>
        </is>
      </c>
      <c r="G132" s="8" t="inlineStr">
        <is>
          <t>Torque-arm / universal</t>
        </is>
      </c>
      <c r="H132" s="8" t="inlineStr">
        <is>
          <t>Hollow shaft, keyed</t>
        </is>
      </c>
      <c r="I132" s="8" t="inlineStr">
        <is>
          <t>IEC motor adaptor/input</t>
        </is>
      </c>
      <c r="J132" s="8" t="n">
        <v>1</v>
      </c>
      <c r="K132" s="9" t="inlineStr">
        <is>
          <t>YP (parallel shaft)</t>
        </is>
      </c>
      <c r="L132" s="10" t="inlineStr">
        <is>
          <t>YPP 83-TL  i=30.34  + IEC 112 B5</t>
        </is>
      </c>
      <c r="M132" s="11" t="inlineStr">
        <is>
          <t>YPM 83 / 112 M 4a -TL</t>
        </is>
      </c>
      <c r="N132" s="12" t="n">
        <v>30.34</v>
      </c>
      <c r="O132" s="9" t="n">
        <v>46</v>
      </c>
      <c r="P132" s="9" t="n">
        <v>791</v>
      </c>
      <c r="Q132" s="11" t="inlineStr">
        <is>
          <t>Sf 1.95</t>
        </is>
      </c>
      <c r="R132" s="11" t="inlineStr">
        <is>
          <t>Gearmotor table, 4-pole motor, n1≈1400 rpm</t>
        </is>
      </c>
      <c r="S132" s="11" t="inlineStr">
        <is>
          <t>Hollow shaft, keyed</t>
        </is>
      </c>
      <c r="T132" s="11" t="inlineStr">
        <is>
          <t>IEC 112 B5 (motor 112 M 4a)</t>
        </is>
      </c>
      <c r="U132" s="11" t="inlineStr">
        <is>
          <t>TL torque arm (include); SDL shrink disc option; H retaining washer; OC output cover</t>
        </is>
      </c>
      <c r="V132" s="11" t="inlineStr">
        <is>
          <t>YP 2025: ratings p.77; dims p.153-154</t>
        </is>
      </c>
      <c r="W132" s="11" t="inlineStr">
        <is>
          <t>Smallest housing with Sf ≥ 1.5 at 4 kW / 1400 rpm. Ratio deviation +1.1% vs 1:30. Larger alternatives: 92 (i=28.84, Sf=3.3).</t>
        </is>
      </c>
      <c r="X132" s="13" t="inlineStr">
        <is>
          <t>YPP 83 – IEC 112 B5 / B14</t>
        </is>
      </c>
      <c r="Y132" s="14" t="inlineStr">
        <is>
          <t>p.46 (YPP series) + p.44 (YP options)</t>
        </is>
      </c>
      <c r="Z132" s="14" t="inlineStr">
        <is>
          <t>YES</t>
        </is>
      </c>
      <c r="AA132" s="15" t="n">
        <v>919</v>
      </c>
      <c r="AB132" s="14" t="inlineStr">
        <is>
          <t>YPP gear unit with IEC input flange, hollow output shaft</t>
        </is>
      </c>
      <c r="AC132" s="16">
        <f>ROUND(AA132*(1-$L$2),2)</f>
        <v/>
      </c>
      <c r="AD132" s="17">
        <f>J132*AC132</f>
        <v/>
      </c>
      <c r="AE132" s="19" t="inlineStr">
        <is>
          <t>Shrink disc €162.00 → €105.30 (p.1). Torque arm: NOT in the price list, ask İ.Mak (RFQ requires it)</t>
        </is>
      </c>
      <c r="AF132" s="18" t="n"/>
    </row>
    <row r="133">
      <c r="A133" s="8" t="inlineStr">
        <is>
          <t>GB-129</t>
        </is>
      </c>
      <c r="B133" s="8" t="inlineStr">
        <is>
          <t>Parallel Shaft</t>
        </is>
      </c>
      <c r="C133" s="8" t="inlineStr">
        <is>
          <t>F / Equivalent</t>
        </is>
      </c>
      <c r="D133" s="8" t="inlineStr">
        <is>
          <t>Supplier selection</t>
        </is>
      </c>
      <c r="E133" s="8" t="n">
        <v>5.5</v>
      </c>
      <c r="F133" s="8" t="inlineStr">
        <is>
          <t>1:20</t>
        </is>
      </c>
      <c r="G133" s="8" t="inlineStr">
        <is>
          <t>Torque-arm / universal</t>
        </is>
      </c>
      <c r="H133" s="8" t="inlineStr">
        <is>
          <t>Hollow shaft, keyed</t>
        </is>
      </c>
      <c r="I133" s="8" t="inlineStr">
        <is>
          <t>IEC motor adaptor/input</t>
        </is>
      </c>
      <c r="J133" s="8" t="n">
        <v>1</v>
      </c>
      <c r="K133" s="9" t="inlineStr">
        <is>
          <t>YP (parallel shaft)</t>
        </is>
      </c>
      <c r="L133" s="10" t="inlineStr">
        <is>
          <t>YPP 82-TL  i=20.69  + IEC 132 B5</t>
        </is>
      </c>
      <c r="M133" s="11" t="inlineStr">
        <is>
          <t>YPM 82 / 132 S 4a -TL</t>
        </is>
      </c>
      <c r="N133" s="12" t="n">
        <v>20.69</v>
      </c>
      <c r="O133" s="9" t="n">
        <v>68</v>
      </c>
      <c r="P133" s="9" t="n">
        <v>753</v>
      </c>
      <c r="Q133" s="11" t="inlineStr">
        <is>
          <t>Sf 1.69</t>
        </is>
      </c>
      <c r="R133" s="11" t="inlineStr">
        <is>
          <t>Gearmotor table, 4-pole motor, n1≈1400 rpm</t>
        </is>
      </c>
      <c r="S133" s="11" t="inlineStr">
        <is>
          <t>Hollow shaft, keyed</t>
        </is>
      </c>
      <c r="T133" s="11" t="inlineStr">
        <is>
          <t>IEC 132 B5 (motor 132 S 4a)</t>
        </is>
      </c>
      <c r="U133" s="11" t="inlineStr">
        <is>
          <t>TL torque arm (include); SDL shrink disc option; H retaining washer; OC output cover</t>
        </is>
      </c>
      <c r="V133" s="11" t="inlineStr">
        <is>
          <t>YP 2025: ratings p.79; dims p.153-154</t>
        </is>
      </c>
      <c r="W133" s="11" t="inlineStr">
        <is>
          <t>Smallest housing with Sf ≥ 1.5 at 5.5 kW / 1400 rpm. Ratio deviation +3.5% vs 1:20.</t>
        </is>
      </c>
      <c r="X133" s="13" t="inlineStr">
        <is>
          <t>YPP 82 – IEC 132 B5 / B14</t>
        </is>
      </c>
      <c r="Y133" s="14" t="inlineStr">
        <is>
          <t>p.46 (YPP series) + p.44 (YP options)</t>
        </is>
      </c>
      <c r="Z133" s="14" t="inlineStr">
        <is>
          <t>YES</t>
        </is>
      </c>
      <c r="AA133" s="15" t="n">
        <v>904</v>
      </c>
      <c r="AB133" s="14" t="inlineStr">
        <is>
          <t>YPP gear unit with IEC input flange, hollow output shaft</t>
        </is>
      </c>
      <c r="AC133" s="16">
        <f>ROUND(AA133*(1-$L$2),2)</f>
        <v/>
      </c>
      <c r="AD133" s="17">
        <f>J133*AC133</f>
        <v/>
      </c>
      <c r="AE133" s="19" t="inlineStr">
        <is>
          <t>Shrink disc €162.00 → €105.30 (p.1). Torque arm: NOT in the price list, ask İ.Mak (RFQ requires it)</t>
        </is>
      </c>
      <c r="AF133" s="18" t="n"/>
    </row>
    <row r="134">
      <c r="A134" s="8" t="inlineStr">
        <is>
          <t>GB-130</t>
        </is>
      </c>
      <c r="B134" s="8" t="inlineStr">
        <is>
          <t>Parallel Shaft</t>
        </is>
      </c>
      <c r="C134" s="8" t="inlineStr">
        <is>
          <t>F / Equivalent</t>
        </is>
      </c>
      <c r="D134" s="8" t="inlineStr">
        <is>
          <t>Supplier selection</t>
        </is>
      </c>
      <c r="E134" s="8" t="n">
        <v>5.5</v>
      </c>
      <c r="F134" s="8" t="inlineStr">
        <is>
          <t>1:40</t>
        </is>
      </c>
      <c r="G134" s="8" t="inlineStr">
        <is>
          <t>Torque-arm / universal</t>
        </is>
      </c>
      <c r="H134" s="8" t="inlineStr">
        <is>
          <t>Hollow shaft, keyed</t>
        </is>
      </c>
      <c r="I134" s="8" t="inlineStr">
        <is>
          <t>IEC motor adaptor/input</t>
        </is>
      </c>
      <c r="J134" s="8" t="n">
        <v>1</v>
      </c>
      <c r="K134" s="9" t="inlineStr">
        <is>
          <t>YP (parallel shaft)</t>
        </is>
      </c>
      <c r="L134" s="10" t="inlineStr">
        <is>
          <t>YPP 93-TL  i=40.62  + IEC 132 B5</t>
        </is>
      </c>
      <c r="M134" s="11" t="inlineStr">
        <is>
          <t>YPM 93 / 132 S 4a -TL</t>
        </is>
      </c>
      <c r="N134" s="12" t="n">
        <v>40.62</v>
      </c>
      <c r="O134" s="9" t="n">
        <v>34</v>
      </c>
      <c r="P134" s="9" t="n">
        <v>1456</v>
      </c>
      <c r="Q134" s="11" t="inlineStr">
        <is>
          <t>Sf 1.92</t>
        </is>
      </c>
      <c r="R134" s="11" t="inlineStr">
        <is>
          <t>Gearmotor table, 4-pole motor, n1≈1400 rpm</t>
        </is>
      </c>
      <c r="S134" s="11" t="inlineStr">
        <is>
          <t>Hollow shaft, keyed</t>
        </is>
      </c>
      <c r="T134" s="11" t="inlineStr">
        <is>
          <t>IEC 132 B5 (motor 132 S 4a)</t>
        </is>
      </c>
      <c r="U134" s="11" t="inlineStr">
        <is>
          <t>TL torque arm (include); SDL shrink disc option; H retaining washer; OC output cover</t>
        </is>
      </c>
      <c r="V134" s="11" t="inlineStr">
        <is>
          <t>YP 2025: ratings p.79; dims p.159-160</t>
        </is>
      </c>
      <c r="W134" s="11" t="inlineStr">
        <is>
          <t>Smallest housing with Sf ≥ 1.5 at 5.5 kW / 1400 rpm. Ratio deviation +1.5% vs 1:40.</t>
        </is>
      </c>
      <c r="X134" s="13" t="inlineStr">
        <is>
          <t>YPP 93 – IEC 132 B5 / B14</t>
        </is>
      </c>
      <c r="Y134" s="14" t="inlineStr">
        <is>
          <t>p.46 (YPP series) + p.44 (YP options)</t>
        </is>
      </c>
      <c r="Z134" s="14" t="inlineStr">
        <is>
          <t>YES</t>
        </is>
      </c>
      <c r="AA134" s="15" t="n">
        <v>1375</v>
      </c>
      <c r="AB134" s="14" t="inlineStr">
        <is>
          <t>YPP gear unit with IEC input flange, hollow output shaft</t>
        </is>
      </c>
      <c r="AC134" s="16">
        <f>ROUND(AA134*(1-$L$2),2)</f>
        <v/>
      </c>
      <c r="AD134" s="17">
        <f>J134*AC134</f>
        <v/>
      </c>
      <c r="AE134" s="19" t="inlineStr">
        <is>
          <t>Shrink disc €213.00 → €138.45 (p.1). Torque arm: NOT in the price list, ask İ.Mak (RFQ requires it)</t>
        </is>
      </c>
      <c r="AF134" s="18" t="n"/>
    </row>
    <row r="135">
      <c r="A135" s="8" t="inlineStr">
        <is>
          <t>GB-131</t>
        </is>
      </c>
      <c r="B135" s="8" t="inlineStr">
        <is>
          <t>Parallel Shaft</t>
        </is>
      </c>
      <c r="C135" s="8" t="inlineStr">
        <is>
          <t>F / Equivalent</t>
        </is>
      </c>
      <c r="D135" s="8" t="inlineStr">
        <is>
          <t>Supplier selection</t>
        </is>
      </c>
      <c r="E135" s="8" t="n">
        <v>7.5</v>
      </c>
      <c r="F135" s="8" t="inlineStr">
        <is>
          <t>1:25</t>
        </is>
      </c>
      <c r="G135" s="8" t="inlineStr">
        <is>
          <t>B3 foot</t>
        </is>
      </c>
      <c r="H135" s="8" t="inlineStr">
        <is>
          <t>Solid output shaft</t>
        </is>
      </c>
      <c r="I135" s="8" t="inlineStr">
        <is>
          <t>IEC motor adaptor/input</t>
        </is>
      </c>
      <c r="J135" s="8" t="n">
        <v>1</v>
      </c>
      <c r="K135" s="9" t="inlineStr">
        <is>
          <t>YP (parallel shaft)</t>
        </is>
      </c>
      <c r="L135" s="10" t="inlineStr">
        <is>
          <t>YPP 92-SL  i=26.19  + IEC 132 B5 (foot mounted)</t>
        </is>
      </c>
      <c r="M135" s="11" t="inlineStr">
        <is>
          <t>YPM 92 / 132 M 4a -SL (foot mounted)</t>
        </is>
      </c>
      <c r="N135" s="12" t="n">
        <v>26.19</v>
      </c>
      <c r="O135" s="9" t="n">
        <v>53</v>
      </c>
      <c r="P135" s="9" t="n">
        <v>1300</v>
      </c>
      <c r="Q135" s="11" t="inlineStr">
        <is>
          <t>Sf 2.1</t>
        </is>
      </c>
      <c r="R135" s="11" t="inlineStr">
        <is>
          <t>Gearmotor table, 4-pole motor, n1≈1400 rpm</t>
        </is>
      </c>
      <c r="S135" s="11" t="inlineStr">
        <is>
          <t>Solid output shaft (SL), foot mounted</t>
        </is>
      </c>
      <c r="T135" s="11" t="inlineStr">
        <is>
          <t>IEC 132 B5 (motor 132 M 4a)</t>
        </is>
      </c>
      <c r="U135" s="11" t="inlineStr">
        <is>
          <t>Output flange option: YP…-FL-SL</t>
        </is>
      </c>
      <c r="V135" s="11" t="inlineStr">
        <is>
          <t>YP 2025: ratings p.82; dims p.159-160</t>
        </is>
      </c>
      <c r="W135" s="11" t="inlineStr">
        <is>
          <t>Smallest housing with Sf ≥ 1.5 at 7.5 kW / 1400 rpm. Ratio deviation +4.8% vs 1:25. Larger alternatives: 102 (i=24.31, Sf=3.6); 103 (i=24.18, Sf=3.4).</t>
        </is>
      </c>
      <c r="X135" s="13" t="inlineStr">
        <is>
          <t>YPP 92 – IEC 132 B5 / B14 + output shaft (foot)</t>
        </is>
      </c>
      <c r="Y135" s="14" t="inlineStr">
        <is>
          <t>p.46 (YPP series) + p.44 (YP options)</t>
        </is>
      </c>
      <c r="Z135" s="14" t="inlineStr">
        <is>
          <t>YES</t>
        </is>
      </c>
      <c r="AA135" s="15" t="n">
        <v>1362</v>
      </c>
      <c r="AB135" s="14" t="inlineStr">
        <is>
          <t>YPP gear unit €1,294.00 + output shaft €68.00</t>
        </is>
      </c>
      <c r="AC135" s="16">
        <f>ROUND(AA135*(1-$L$2),2)</f>
        <v/>
      </c>
      <c r="AD135" s="17">
        <f>J135*AC135</f>
        <v/>
      </c>
      <c r="AE135" s="14" t="inlineStr">
        <is>
          <t>Output-flange option YPFP 92 €1,350.00 + output shaft (flange) €74.00 = €1,424.00 → net €925.60</t>
        </is>
      </c>
      <c r="AF135" s="18" t="n"/>
    </row>
    <row r="136">
      <c r="A136" s="8" t="inlineStr">
        <is>
          <t>GB-132</t>
        </is>
      </c>
      <c r="B136" s="8" t="inlineStr">
        <is>
          <t>Parallel Shaft</t>
        </is>
      </c>
      <c r="C136" s="8" t="inlineStr">
        <is>
          <t>F / Equivalent</t>
        </is>
      </c>
      <c r="D136" s="8" t="inlineStr">
        <is>
          <t>Supplier selection</t>
        </is>
      </c>
      <c r="E136" s="8" t="n">
        <v>11</v>
      </c>
      <c r="F136" s="8" t="inlineStr">
        <is>
          <t>1:30</t>
        </is>
      </c>
      <c r="G136" s="8" t="inlineStr">
        <is>
          <t>B3 foot</t>
        </is>
      </c>
      <c r="H136" s="8" t="inlineStr">
        <is>
          <t>Solid output shaft</t>
        </is>
      </c>
      <c r="I136" s="8" t="inlineStr">
        <is>
          <t>IEC motor adaptor/input</t>
        </is>
      </c>
      <c r="J136" s="8" t="n">
        <v>1</v>
      </c>
      <c r="K136" s="9" t="inlineStr">
        <is>
          <t>YP (parallel shaft)</t>
        </is>
      </c>
      <c r="L136" s="10" t="inlineStr">
        <is>
          <t>YPP 103-SL  i=28.84  + IEC 160 B5 (foot mounted)</t>
        </is>
      </c>
      <c r="M136" s="11" t="inlineStr">
        <is>
          <t>YPM 103 / 160 M 4a -SL (foot mounted)</t>
        </is>
      </c>
      <c r="N136" s="12" t="n">
        <v>28.84</v>
      </c>
      <c r="O136" s="9" t="n">
        <v>49</v>
      </c>
      <c r="P136" s="9" t="n">
        <v>2068</v>
      </c>
      <c r="Q136" s="11" t="inlineStr">
        <is>
          <t>Sf 1.94</t>
        </is>
      </c>
      <c r="R136" s="11" t="inlineStr">
        <is>
          <t>Gearmotor table, 4-pole motor, n1≈1400 rpm</t>
        </is>
      </c>
      <c r="S136" s="11" t="inlineStr">
        <is>
          <t>Solid output shaft (SL), foot mounted</t>
        </is>
      </c>
      <c r="T136" s="11" t="inlineStr">
        <is>
          <t>IEC 160 B5 (motor 160 M 4a)</t>
        </is>
      </c>
      <c r="U136" s="11" t="inlineStr">
        <is>
          <t>Output flange option: YP…-FL-SL</t>
        </is>
      </c>
      <c r="V136" s="11" t="inlineStr">
        <is>
          <t>YP 2025: ratings p.84; dims p.165-166</t>
        </is>
      </c>
      <c r="W136" s="11" t="inlineStr">
        <is>
          <t>Smallest housing with Sf ≥ 1.5 at 11 kW / 1400 rpm. Ratio deviation -3.9% vs 1:30. Larger alternatives: 122 (i=29.5, Sf=3.3); 123 (i=29.92, Sf=3.4).</t>
        </is>
      </c>
      <c r="X136" s="13" t="inlineStr">
        <is>
          <t>YPP 103 – IEC 160 B5 / B14 + output shaft (foot)</t>
        </is>
      </c>
      <c r="Y136" s="14" t="inlineStr">
        <is>
          <t>p.47 (YPP series) + p.44 (YP options)</t>
        </is>
      </c>
      <c r="Z136" s="14" t="inlineStr">
        <is>
          <t>YES</t>
        </is>
      </c>
      <c r="AA136" s="15" t="n">
        <v>2200</v>
      </c>
      <c r="AB136" s="14" t="inlineStr">
        <is>
          <t>YPP gear unit €2,125.00 + output shaft €75.00</t>
        </is>
      </c>
      <c r="AC136" s="16">
        <f>ROUND(AA136*(1-$L$2),2)</f>
        <v/>
      </c>
      <c r="AD136" s="17">
        <f>J136*AC136</f>
        <v/>
      </c>
      <c r="AE136" s="14" t="inlineStr">
        <is>
          <t>Output-flange option YPFP 103 €2,234.00 + output shaft (flange) €81.00 = €2,315.00 → net €1,504.75</t>
        </is>
      </c>
      <c r="AF136" s="18" t="n"/>
    </row>
    <row r="137">
      <c r="A137" s="8" t="inlineStr">
        <is>
          <t>GB-133</t>
        </is>
      </c>
      <c r="B137" s="8" t="inlineStr">
        <is>
          <t>Parallel Shaft</t>
        </is>
      </c>
      <c r="C137" s="8" t="inlineStr">
        <is>
          <t>F / Equivalent</t>
        </is>
      </c>
      <c r="D137" s="8" t="inlineStr">
        <is>
          <t>Supplier selection</t>
        </is>
      </c>
      <c r="E137" s="8" t="n">
        <v>15</v>
      </c>
      <c r="F137" s="8" t="inlineStr">
        <is>
          <t>1:40</t>
        </is>
      </c>
      <c r="G137" s="8" t="inlineStr">
        <is>
          <t>B3 foot</t>
        </is>
      </c>
      <c r="H137" s="8" t="inlineStr">
        <is>
          <t>Solid output shaft</t>
        </is>
      </c>
      <c r="I137" s="8" t="inlineStr">
        <is>
          <t>IEC motor adaptor/input</t>
        </is>
      </c>
      <c r="J137" s="8" t="n">
        <v>1</v>
      </c>
      <c r="K137" s="9" t="inlineStr">
        <is>
          <t>YP (parallel shaft)</t>
        </is>
      </c>
      <c r="L137" s="10" t="inlineStr">
        <is>
          <t>YPP 123-SL  i=40.73  + IEC 160 B5 (foot mounted)</t>
        </is>
      </c>
      <c r="M137" s="11" t="inlineStr">
        <is>
          <t>YPM 123 / 160 L 4a -SL (foot mounted)</t>
        </is>
      </c>
      <c r="N137" s="12" t="n">
        <v>40.73</v>
      </c>
      <c r="O137" s="9" t="n">
        <v>34</v>
      </c>
      <c r="P137" s="9" t="n">
        <v>3982</v>
      </c>
      <c r="Q137" s="11" t="inlineStr">
        <is>
          <t>Sf 1.83</t>
        </is>
      </c>
      <c r="R137" s="11" t="inlineStr">
        <is>
          <t>Gearmotor table, 4-pole motor, n1≈1400 rpm</t>
        </is>
      </c>
      <c r="S137" s="11" t="inlineStr">
        <is>
          <t>Solid output shaft (SL), foot mounted</t>
        </is>
      </c>
      <c r="T137" s="11" t="inlineStr">
        <is>
          <t>IEC 160 B5 (motor 160 L 4a)</t>
        </is>
      </c>
      <c r="U137" s="11" t="inlineStr">
        <is>
          <t>Output flange option: YP…-FL-SL</t>
        </is>
      </c>
      <c r="V137" s="11" t="inlineStr">
        <is>
          <t>YP 2025: ratings p.85; dims p.171-172</t>
        </is>
      </c>
      <c r="W137" s="11" t="inlineStr">
        <is>
          <t>Smallest housing with Sf ≥ 1.5 at 15 kW / 1400 rpm. Ratio deviation +1.8% vs 1:40.</t>
        </is>
      </c>
      <c r="X137" s="13" t="inlineStr">
        <is>
          <t>YPP 123 – IEC 160 B5 / B14 + output shaft (foot)</t>
        </is>
      </c>
      <c r="Y137" s="14" t="inlineStr">
        <is>
          <t>p.47 (YPP series) + p.44 (YP options)</t>
        </is>
      </c>
      <c r="Z137" s="14" t="inlineStr">
        <is>
          <t>YES</t>
        </is>
      </c>
      <c r="AA137" s="15" t="n">
        <v>2997</v>
      </c>
      <c r="AB137" s="14" t="inlineStr">
        <is>
          <t>YPP gear unit €2,869.00 + output shaft €128.00</t>
        </is>
      </c>
      <c r="AC137" s="16">
        <f>ROUND(AA137*(1-$L$2),2)</f>
        <v/>
      </c>
      <c r="AD137" s="17">
        <f>J137*AC137</f>
        <v/>
      </c>
      <c r="AE137" s="14" t="inlineStr">
        <is>
          <t>Output-flange option YPFP 123 €3,034.00 + output shaft (flange) €137.00 = €3,171.00 → net €2,061.15</t>
        </is>
      </c>
      <c r="AF137" s="18" t="n"/>
    </row>
    <row r="138">
      <c r="A138" s="8" t="inlineStr">
        <is>
          <t>GB-134</t>
        </is>
      </c>
      <c r="B138" s="8" t="inlineStr">
        <is>
          <t>Parallel Shaft</t>
        </is>
      </c>
      <c r="C138" s="8" t="inlineStr">
        <is>
          <t>F / Equivalent</t>
        </is>
      </c>
      <c r="D138" s="8" t="inlineStr">
        <is>
          <t>Supplier selection</t>
        </is>
      </c>
      <c r="E138" s="8" t="n">
        <v>22</v>
      </c>
      <c r="F138" s="8" t="inlineStr">
        <is>
          <t>1:40</t>
        </is>
      </c>
      <c r="G138" s="8" t="inlineStr">
        <is>
          <t>B3 foot</t>
        </is>
      </c>
      <c r="H138" s="8" t="inlineStr">
        <is>
          <t>Solid output shaft</t>
        </is>
      </c>
      <c r="I138" s="8" t="inlineStr">
        <is>
          <t>IEC motor adaptor/input</t>
        </is>
      </c>
      <c r="J138" s="8" t="n">
        <v>1</v>
      </c>
      <c r="K138" s="9" t="inlineStr">
        <is>
          <t>YP (parallel shaft)</t>
        </is>
      </c>
      <c r="L138" s="10" t="inlineStr">
        <is>
          <t>YPP 143-SL  i=38.8  + IEC 180 B5 (foot mounted)</t>
        </is>
      </c>
      <c r="M138" s="11" t="inlineStr">
        <is>
          <t>YPM 143 / 180 L 4a -SL (foot mounted)</t>
        </is>
      </c>
      <c r="N138" s="12" t="n">
        <v>38.8</v>
      </c>
      <c r="O138" s="9" t="n">
        <v>36</v>
      </c>
      <c r="P138" s="9" t="n">
        <v>5565</v>
      </c>
      <c r="Q138" s="11" t="inlineStr">
        <is>
          <t>Sf 2.4</t>
        </is>
      </c>
      <c r="R138" s="11" t="inlineStr">
        <is>
          <t>Gearmotor table, 4-pole motor, n1≈1400 rpm</t>
        </is>
      </c>
      <c r="S138" s="11" t="inlineStr">
        <is>
          <t>Solid output shaft (SL), foot mounted</t>
        </is>
      </c>
      <c r="T138" s="11" t="inlineStr">
        <is>
          <t>IEC 180 B5 (motor 180 L 4a)</t>
        </is>
      </c>
      <c r="U138" s="11" t="inlineStr">
        <is>
          <t>Output flange option: YP…-FL-SL</t>
        </is>
      </c>
      <c r="V138" s="11" t="inlineStr">
        <is>
          <t>YP 2025: ratings p.88; dims p.177-178</t>
        </is>
      </c>
      <c r="W138" s="11" t="inlineStr">
        <is>
          <t>Smallest housing with Sf ≥ 1.5 at 22 kW / 1400 rpm. Ratio deviation -3.0% vs 1:40. Larger alternatives: 153 (i=41.03, Sf=3.2).</t>
        </is>
      </c>
      <c r="X138" s="13" t="inlineStr">
        <is>
          <t>YPP 143 – IEC 180 B5 + output shaft (foot)</t>
        </is>
      </c>
      <c r="Y138" s="14" t="inlineStr">
        <is>
          <t>p.48 (YPP series) + p.44 (YP options)</t>
        </is>
      </c>
      <c r="Z138" s="14" t="inlineStr">
        <is>
          <t>YES</t>
        </is>
      </c>
      <c r="AA138" s="15" t="n">
        <v>4830</v>
      </c>
      <c r="AB138" s="14" t="inlineStr">
        <is>
          <t>YPP gear unit €4,628.00 + output shaft €202.00</t>
        </is>
      </c>
      <c r="AC138" s="16">
        <f>ROUND(AA138*(1-$L$2),2)</f>
        <v/>
      </c>
      <c r="AD138" s="17">
        <f>J138*AC138</f>
        <v/>
      </c>
      <c r="AE138" s="14" t="inlineStr">
        <is>
          <t>Output-flange option YPFP 143 €4,881.00 + output shaft (flange) €224.00 = €5,105.00 → net €3,318.25</t>
        </is>
      </c>
      <c r="AF138" s="18" t="n"/>
    </row>
    <row r="139">
      <c r="A139" s="8" t="inlineStr">
        <is>
          <t>GB-135</t>
        </is>
      </c>
      <c r="B139" s="8" t="inlineStr">
        <is>
          <t>Parallel Shaft</t>
        </is>
      </c>
      <c r="C139" s="8" t="inlineStr">
        <is>
          <t>F / Equivalent</t>
        </is>
      </c>
      <c r="D139" s="8" t="inlineStr">
        <is>
          <t>Supplier selection</t>
        </is>
      </c>
      <c r="E139" s="8" t="n">
        <v>30</v>
      </c>
      <c r="F139" s="8" t="inlineStr">
        <is>
          <t>1:50</t>
        </is>
      </c>
      <c r="G139" s="8" t="inlineStr">
        <is>
          <t>B3 foot</t>
        </is>
      </c>
      <c r="H139" s="8" t="inlineStr">
        <is>
          <t>Solid output shaft</t>
        </is>
      </c>
      <c r="I139" s="8" t="inlineStr">
        <is>
          <t>IEC motor adaptor/input</t>
        </is>
      </c>
      <c r="J139" s="8" t="n">
        <v>1</v>
      </c>
      <c r="K139" s="9" t="inlineStr">
        <is>
          <t>YP (parallel shaft)</t>
        </is>
      </c>
      <c r="L139" s="10" t="inlineStr">
        <is>
          <t>YPP 153-SL  i=50.72  + IEC 200 B5 (foot mounted)</t>
        </is>
      </c>
      <c r="M139" s="11" t="inlineStr">
        <is>
          <t>YPM 153 / 200 L 4a -SL (foot mounted)</t>
        </is>
      </c>
      <c r="N139" s="12" t="n">
        <v>50.72</v>
      </c>
      <c r="O139" s="9" t="n">
        <v>28</v>
      </c>
      <c r="P139" s="9" t="n">
        <v>9919</v>
      </c>
      <c r="Q139" s="11" t="inlineStr">
        <is>
          <t>Sf 1.9</t>
        </is>
      </c>
      <c r="R139" s="11" t="inlineStr">
        <is>
          <t>Gearmotor table, 4-pole motor, n1≈1400 rpm</t>
        </is>
      </c>
      <c r="S139" s="11" t="inlineStr">
        <is>
          <t>Solid output shaft (SL), foot mounted</t>
        </is>
      </c>
      <c r="T139" s="11" t="inlineStr">
        <is>
          <t>IEC 200 B5 (motor 200 L 4a)</t>
        </is>
      </c>
      <c r="U139" s="11" t="inlineStr">
        <is>
          <t>Output flange option: YP…-FL-SL</t>
        </is>
      </c>
      <c r="V139" s="11" t="inlineStr">
        <is>
          <t>YP 2025: ratings p.89; dims p.185-186</t>
        </is>
      </c>
      <c r="W139" s="11" t="inlineStr">
        <is>
          <t>Smallest housing with Sf ≥ 1.5 at 30 kW / 1400 rpm. Ratio deviation +1.4% vs 1:50.</t>
        </is>
      </c>
      <c r="X139" s="13" t="inlineStr">
        <is>
          <t>YPP 153 – IEC 200 B5 + output shaft (foot)</t>
        </is>
      </c>
      <c r="Y139" s="14" t="inlineStr">
        <is>
          <t>p.48 (YPP series) + p.44 (YP options)</t>
        </is>
      </c>
      <c r="Z139" s="14" t="inlineStr">
        <is>
          <t>YES</t>
        </is>
      </c>
      <c r="AA139" s="15" t="n">
        <v>7083</v>
      </c>
      <c r="AB139" s="14" t="inlineStr">
        <is>
          <t>YPP gear unit €6,828.00 + output shaft €255.00</t>
        </is>
      </c>
      <c r="AC139" s="16">
        <f>ROUND(AA139*(1-$L$2),2)</f>
        <v/>
      </c>
      <c r="AD139" s="17">
        <f>J139*AC139</f>
        <v/>
      </c>
      <c r="AE139" s="14" t="inlineStr">
        <is>
          <t>Output-flange option YPFP 153 €7,152.00 + output shaft (flange) €301.00 = €7,453.00 → net €4,844.45</t>
        </is>
      </c>
      <c r="AF139" s="18" t="n"/>
    </row>
    <row r="140">
      <c r="A140" s="8" t="inlineStr">
        <is>
          <t>GB-136</t>
        </is>
      </c>
      <c r="B140" s="8" t="inlineStr">
        <is>
          <t>Shaft Mounted Reducer</t>
        </is>
      </c>
      <c r="C140" s="8" t="inlineStr">
        <is>
          <t>SMSR / Equivalent</t>
        </is>
      </c>
      <c r="D140" s="8" t="inlineStr">
        <is>
          <t>Supplier selection</t>
        </is>
      </c>
      <c r="E140" s="8" t="n">
        <v>2.2</v>
      </c>
      <c r="F140" s="8" t="inlineStr">
        <is>
          <t>1:5</t>
        </is>
      </c>
      <c r="G140" s="8" t="inlineStr">
        <is>
          <t>Torque-arm mounted</t>
        </is>
      </c>
      <c r="H140" s="8" t="inlineStr">
        <is>
          <t>Hollow shaft, keyed</t>
        </is>
      </c>
      <c r="I140" s="8" t="inlineStr">
        <is>
          <t>IEC motor adaptor/input</t>
        </is>
      </c>
      <c r="J140" s="8" t="n">
        <v>1</v>
      </c>
      <c r="K140" s="9" t="inlineStr">
        <is>
          <t>İRNX (shaft mounted)</t>
        </is>
      </c>
      <c r="L140" s="10" t="inlineStr">
        <is>
          <t>İRNX 01  i=5</t>
        </is>
      </c>
      <c r="M140" s="11" t="inlineStr">
        <is>
          <t>— (belt driven; motor, pulleys and belts supplied separately)</t>
        </is>
      </c>
      <c r="N140" s="12" t="n">
        <v>5</v>
      </c>
      <c r="O140" s="9" t="n">
        <v>261</v>
      </c>
      <c r="P140" s="9" t="n">
        <v>515</v>
      </c>
      <c r="Q140" s="11" t="inlineStr">
        <is>
          <t>9.9 kW max at fs 1.5</t>
        </is>
      </c>
      <c r="R140" s="11" t="inlineStr">
        <is>
          <t>IRNX table n1=1400 rpm, moderate load 16 h/day</t>
        </is>
      </c>
      <c r="S140" s="11" t="inlineStr">
        <is>
          <t>Hollow shaft, keyed (Ø30 on İRNX 01)</t>
        </is>
      </c>
      <c r="T140" s="11" t="inlineStr">
        <is>
          <t>Not available (input shaft + pulley)</t>
        </is>
      </c>
      <c r="U140" s="11" t="inlineStr">
        <is>
          <t>BSL backstop (CW/CCW 235/236); torque arm with rubber buffers; input shaft 131-136 variants; pulleys/belts quote separately</t>
        </is>
      </c>
      <c r="V140" s="11" t="inlineStr">
        <is>
          <t>IRNX 2024: ratings p.33; dims p.43</t>
        </is>
      </c>
      <c r="W140" s="11" t="inlineStr">
        <is>
          <t>Selected on "moderate load, 16 h/day (fs=1.50)" max-motor-kW column at n1=1400 rpm. DEVIATION: IRNX has a keyed input shaft for belt/pulley drive only; no IEC motor adaptor in the catalogue.</t>
        </is>
      </c>
      <c r="X140" s="13" t="inlineStr">
        <is>
          <t>İRNX 01</t>
        </is>
      </c>
      <c r="Y140" s="14" t="inlineStr">
        <is>
          <t>p.61 (IRNX series)</t>
        </is>
      </c>
      <c r="Z140" s="14" t="inlineStr">
        <is>
          <t>YES (no IEC version exists, input shaft only)</t>
        </is>
      </c>
      <c r="AA140" s="15" t="n">
        <v>315</v>
      </c>
      <c r="AB140" s="14" t="inlineStr">
        <is>
          <t>Shaft-mounted gear unit, hollow shaft, input shaft</t>
        </is>
      </c>
      <c r="AC140" s="16">
        <f>ROUND(AA140*(1-$L$2),2)</f>
        <v/>
      </c>
      <c r="AD140" s="17">
        <f>J140*AC140</f>
        <v/>
      </c>
      <c r="AE140" s="19" t="inlineStr">
        <is>
          <t>Backstop: NOT available for İRNX 01 per price list; torque arm, pulleys and belts not in price list, ask İ.Mak</t>
        </is>
      </c>
      <c r="AF140" s="18" t="n"/>
    </row>
    <row r="141">
      <c r="A141" s="8" t="inlineStr">
        <is>
          <t>GB-137</t>
        </is>
      </c>
      <c r="B141" s="8" t="inlineStr">
        <is>
          <t>Shaft Mounted Reducer</t>
        </is>
      </c>
      <c r="C141" s="8" t="inlineStr">
        <is>
          <t>SMSR / Equivalent</t>
        </is>
      </c>
      <c r="D141" s="8" t="inlineStr">
        <is>
          <t>Supplier selection</t>
        </is>
      </c>
      <c r="E141" s="8" t="n">
        <v>2.2</v>
      </c>
      <c r="F141" s="8" t="inlineStr">
        <is>
          <t>1:13</t>
        </is>
      </c>
      <c r="G141" s="8" t="inlineStr">
        <is>
          <t>Torque-arm mounted</t>
        </is>
      </c>
      <c r="H141" s="8" t="inlineStr">
        <is>
          <t>Hollow shaft, keyed</t>
        </is>
      </c>
      <c r="I141" s="8" t="inlineStr">
        <is>
          <t>IEC motor adaptor/input</t>
        </is>
      </c>
      <c r="J141" s="8" t="n">
        <v>1</v>
      </c>
      <c r="K141" s="9" t="inlineStr">
        <is>
          <t>İRNX (shaft mounted)</t>
        </is>
      </c>
      <c r="L141" s="10" t="inlineStr">
        <is>
          <t>İRNX 01  i=13</t>
        </is>
      </c>
      <c r="M141" s="11" t="inlineStr">
        <is>
          <t>— (belt driven; motor, pulleys and belts supplied separately)</t>
        </is>
      </c>
      <c r="N141" s="12" t="n">
        <v>13</v>
      </c>
      <c r="O141" s="9" t="n">
        <v>107</v>
      </c>
      <c r="P141" s="9" t="n">
        <v>515</v>
      </c>
      <c r="Q141" s="11" t="inlineStr">
        <is>
          <t>4.1 kW max at fs 1.5</t>
        </is>
      </c>
      <c r="R141" s="11" t="inlineStr">
        <is>
          <t>IRNX table n1=1400 rpm, moderate load 16 h/day</t>
        </is>
      </c>
      <c r="S141" s="11" t="inlineStr">
        <is>
          <t>Hollow shaft, keyed (Ø30 on İRNX 01)</t>
        </is>
      </c>
      <c r="T141" s="11" t="inlineStr">
        <is>
          <t>Not available (input shaft + pulley)</t>
        </is>
      </c>
      <c r="U141" s="11" t="inlineStr">
        <is>
          <t>BSL backstop (CW/CCW 235/236); torque arm with rubber buffers; input shaft 131-136 variants; pulleys/belts quote separately</t>
        </is>
      </c>
      <c r="V141" s="11" t="inlineStr">
        <is>
          <t>IRNX 2024: ratings p.33; dims p.43</t>
        </is>
      </c>
      <c r="W141" s="11" t="inlineStr">
        <is>
          <t>Selected on "moderate load, 16 h/day (fs=1.50)" max-motor-kW column at n1=1400 rpm. DEVIATION: IRNX has a keyed input shaft for belt/pulley drive only; no IEC motor adaptor in the catalogue.</t>
        </is>
      </c>
      <c r="X141" s="13" t="inlineStr">
        <is>
          <t>İRNX 01</t>
        </is>
      </c>
      <c r="Y141" s="14" t="inlineStr">
        <is>
          <t>p.61 (IRNX series)</t>
        </is>
      </c>
      <c r="Z141" s="14" t="inlineStr">
        <is>
          <t>YES (no IEC version exists, input shaft only)</t>
        </is>
      </c>
      <c r="AA141" s="15" t="n">
        <v>315</v>
      </c>
      <c r="AB141" s="14" t="inlineStr">
        <is>
          <t>Shaft-mounted gear unit, hollow shaft, input shaft</t>
        </is>
      </c>
      <c r="AC141" s="16">
        <f>ROUND(AA141*(1-$L$2),2)</f>
        <v/>
      </c>
      <c r="AD141" s="17">
        <f>J141*AC141</f>
        <v/>
      </c>
      <c r="AE141" s="19" t="inlineStr">
        <is>
          <t>Backstop: NOT available for İRNX 01 per price list; torque arm, pulleys and belts not in price list, ask İ.Mak</t>
        </is>
      </c>
      <c r="AF141" s="18" t="n"/>
    </row>
    <row r="142">
      <c r="A142" s="8" t="inlineStr">
        <is>
          <t>GB-138</t>
        </is>
      </c>
      <c r="B142" s="8" t="inlineStr">
        <is>
          <t>Shaft Mounted Reducer</t>
        </is>
      </c>
      <c r="C142" s="8" t="inlineStr">
        <is>
          <t>SMSR / Equivalent</t>
        </is>
      </c>
      <c r="D142" s="8" t="inlineStr">
        <is>
          <t>Supplier selection</t>
        </is>
      </c>
      <c r="E142" s="8" t="n">
        <v>4</v>
      </c>
      <c r="F142" s="8" t="inlineStr">
        <is>
          <t>1:10</t>
        </is>
      </c>
      <c r="G142" s="8" t="inlineStr">
        <is>
          <t>Torque-arm mounted</t>
        </is>
      </c>
      <c r="H142" s="8" t="inlineStr">
        <is>
          <t>Hollow shaft, keyed</t>
        </is>
      </c>
      <c r="I142" s="8" t="inlineStr">
        <is>
          <t>IEC motor adaptor/input</t>
        </is>
      </c>
      <c r="J142" s="8" t="n">
        <v>1</v>
      </c>
      <c r="K142" s="9" t="inlineStr">
        <is>
          <t>İRNX (shaft mounted)</t>
        </is>
      </c>
      <c r="L142" s="10" t="inlineStr">
        <is>
          <t>İRNX 01  i=5  + pulley 1:2 (overall ≈1:10)</t>
        </is>
      </c>
      <c r="M142" s="11" t="inlineStr">
        <is>
          <t>— (belt driven; motor, pulleys and belts supplied separately)</t>
        </is>
      </c>
      <c r="N142" s="12" t="n">
        <v>10</v>
      </c>
      <c r="O142" s="9" t="n">
        <v>130</v>
      </c>
      <c r="P142" s="9" t="n">
        <v>515</v>
      </c>
      <c r="Q142" s="11" t="inlineStr">
        <is>
          <t>4.9 kW max at fs 1.5</t>
        </is>
      </c>
      <c r="R142" s="11" t="inlineStr">
        <is>
          <t>IRNX table n1=1400 rpm, moderate load 16 h/day</t>
        </is>
      </c>
      <c r="S142" s="11" t="inlineStr">
        <is>
          <t>Hollow shaft, keyed (Ø30 on İRNX 01)</t>
        </is>
      </c>
      <c r="T142" s="11" t="inlineStr">
        <is>
          <t>Not available (input shaft + pulley)</t>
        </is>
      </c>
      <c r="U142" s="11" t="inlineStr">
        <is>
          <t>BSL backstop (CW/CCW 235/236); torque arm with rubber buffers; input shaft 131-136 variants; pulleys/belts quote separately</t>
        </is>
      </c>
      <c r="V142" s="11" t="inlineStr">
        <is>
          <t>IRNX 2024: ratings p.33; dims p.43</t>
        </is>
      </c>
      <c r="W142" s="11" t="inlineStr">
        <is>
          <t>Selected on "moderate load, 16 h/day (fs=1.50)" max-motor-kW column at n1=1400 rpm. Gear ratio 1:10 is not an IRNX ratio (IRNX gears are 5 / 13 / 20 / 30); overall 1:10 is reached with gearbox i=5 + V-belt pulley ratio 1:2 (catalogue pulley table). DEVIATION: IRNX has a keyed input shaft for belt/pulley drive only; no IEC motor adaptor in the catalogue. Direct-drive alternative: İRNX 01 i=13 (4.1 kW at fs 1.5, 1:13 not 1:10).</t>
        </is>
      </c>
      <c r="X142" s="13" t="inlineStr">
        <is>
          <t>İRNX 01</t>
        </is>
      </c>
      <c r="Y142" s="14" t="inlineStr">
        <is>
          <t>p.61 (IRNX series)</t>
        </is>
      </c>
      <c r="Z142" s="14" t="inlineStr">
        <is>
          <t>YES (no IEC version exists, input shaft only)</t>
        </is>
      </c>
      <c r="AA142" s="15" t="n">
        <v>315</v>
      </c>
      <c r="AB142" s="14" t="inlineStr">
        <is>
          <t>Shaft-mounted gear unit, hollow shaft, input shaft</t>
        </is>
      </c>
      <c r="AC142" s="16">
        <f>ROUND(AA142*(1-$L$2),2)</f>
        <v/>
      </c>
      <c r="AD142" s="17">
        <f>J142*AC142</f>
        <v/>
      </c>
      <c r="AE142" s="19" t="inlineStr">
        <is>
          <t>Backstop: NOT available for İRNX 01 per price list; torque arm, pulleys and belts not in price list, ask İ.Mak</t>
        </is>
      </c>
      <c r="AF142" s="18" t="n"/>
    </row>
    <row r="143">
      <c r="A143" s="8" t="inlineStr">
        <is>
          <t>GB-139</t>
        </is>
      </c>
      <c r="B143" s="8" t="inlineStr">
        <is>
          <t>Shaft Mounted Reducer</t>
        </is>
      </c>
      <c r="C143" s="8" t="inlineStr">
        <is>
          <t>SMSR / Equivalent</t>
        </is>
      </c>
      <c r="D143" s="8" t="inlineStr">
        <is>
          <t>Supplier selection</t>
        </is>
      </c>
      <c r="E143" s="8" t="n">
        <v>4</v>
      </c>
      <c r="F143" s="8" t="inlineStr">
        <is>
          <t>1:20</t>
        </is>
      </c>
      <c r="G143" s="8" t="inlineStr">
        <is>
          <t>Torque-arm mounted</t>
        </is>
      </c>
      <c r="H143" s="8" t="inlineStr">
        <is>
          <t>Hollow shaft, keyed</t>
        </is>
      </c>
      <c r="I143" s="8" t="inlineStr">
        <is>
          <t>IEC motor adaptor/input</t>
        </is>
      </c>
      <c r="J143" s="8" t="n">
        <v>1</v>
      </c>
      <c r="K143" s="9" t="inlineStr">
        <is>
          <t>İRNX (shaft mounted)</t>
        </is>
      </c>
      <c r="L143" s="10" t="inlineStr">
        <is>
          <t>İRNX 02  i=20</t>
        </is>
      </c>
      <c r="M143" s="11" t="inlineStr">
        <is>
          <t>— (belt driven; motor, pulleys and belts supplied separately)</t>
        </is>
      </c>
      <c r="N143" s="12" t="n">
        <v>20</v>
      </c>
      <c r="O143" s="9" t="n">
        <v>69</v>
      </c>
      <c r="P143" s="9" t="n">
        <v>815</v>
      </c>
      <c r="Q143" s="11" t="inlineStr">
        <is>
          <t>4.1 kW max at fs 1.5</t>
        </is>
      </c>
      <c r="R143" s="11" t="inlineStr">
        <is>
          <t>IRNX table n1=1400 rpm, moderate load 16 h/day</t>
        </is>
      </c>
      <c r="S143" s="11" t="inlineStr">
        <is>
          <t>Hollow shaft, keyed</t>
        </is>
      </c>
      <c r="T143" s="11" t="inlineStr">
        <is>
          <t>Not available (input shaft + pulley)</t>
        </is>
      </c>
      <c r="U143" s="11" t="inlineStr">
        <is>
          <t>BSL backstop (CW/CCW 235/236); torque arm with rubber buffers; input shaft 131-136 variants; pulleys/belts quote separately</t>
        </is>
      </c>
      <c r="V143" s="11" t="inlineStr">
        <is>
          <t>IRNX 2024: ratings p.33; dims p.44</t>
        </is>
      </c>
      <c r="W143" s="11" t="inlineStr">
        <is>
          <t>Selected on "moderate load, 16 h/day (fs=1.50)" max-motor-kW column at n1=1400 rpm. DEVIATION: IRNX has a keyed input shaft for belt/pulley drive only; no IEC motor adaptor in the catalogue.</t>
        </is>
      </c>
      <c r="X143" s="13" t="inlineStr">
        <is>
          <t>İRNX 02</t>
        </is>
      </c>
      <c r="Y143" s="14" t="inlineStr">
        <is>
          <t>p.61 (IRNX series)</t>
        </is>
      </c>
      <c r="Z143" s="14" t="inlineStr">
        <is>
          <t>YES (no IEC version exists, input shaft only)</t>
        </is>
      </c>
      <c r="AA143" s="15" t="n">
        <v>436</v>
      </c>
      <c r="AB143" s="14" t="inlineStr">
        <is>
          <t>Shaft-mounted gear unit, hollow shaft, input shaft</t>
        </is>
      </c>
      <c r="AC143" s="16">
        <f>ROUND(AA143*(1-$L$2),2)</f>
        <v/>
      </c>
      <c r="AD143" s="17">
        <f>J143*AC143</f>
        <v/>
      </c>
      <c r="AE143" s="19" t="inlineStr">
        <is>
          <t>Backstop €149.00 → €96.85; torque arm, pulleys and belts not in price list, ask İ.Mak</t>
        </is>
      </c>
      <c r="AF143" s="18" t="n"/>
    </row>
    <row r="144">
      <c r="A144" s="8" t="inlineStr">
        <is>
          <t>GB-140</t>
        </is>
      </c>
      <c r="B144" s="8" t="inlineStr">
        <is>
          <t>Shaft Mounted Reducer</t>
        </is>
      </c>
      <c r="C144" s="8" t="inlineStr">
        <is>
          <t>SMSR / Equivalent</t>
        </is>
      </c>
      <c r="D144" s="8" t="inlineStr">
        <is>
          <t>Supplier selection</t>
        </is>
      </c>
      <c r="E144" s="8" t="n">
        <v>5.5</v>
      </c>
      <c r="F144" s="8" t="inlineStr">
        <is>
          <t>1:13</t>
        </is>
      </c>
      <c r="G144" s="8" t="inlineStr">
        <is>
          <t>Torque-arm mounted</t>
        </is>
      </c>
      <c r="H144" s="8" t="inlineStr">
        <is>
          <t>Hollow shaft, keyed</t>
        </is>
      </c>
      <c r="I144" s="8" t="inlineStr">
        <is>
          <t>IEC motor adaptor/input</t>
        </is>
      </c>
      <c r="J144" s="8" t="n">
        <v>1</v>
      </c>
      <c r="K144" s="9" t="inlineStr">
        <is>
          <t>İRNX (shaft mounted)</t>
        </is>
      </c>
      <c r="L144" s="10" t="inlineStr">
        <is>
          <t>İRNX 02  i=13</t>
        </is>
      </c>
      <c r="M144" s="11" t="inlineStr">
        <is>
          <t>— (belt driven; motor, pulleys and belts supplied separately)</t>
        </is>
      </c>
      <c r="N144" s="12" t="n">
        <v>13</v>
      </c>
      <c r="O144" s="9" t="n">
        <v>107</v>
      </c>
      <c r="P144" s="9" t="n">
        <v>815</v>
      </c>
      <c r="Q144" s="11" t="inlineStr">
        <is>
          <t>6.4 kW max at fs 1.5</t>
        </is>
      </c>
      <c r="R144" s="11" t="inlineStr">
        <is>
          <t>IRNX table n1=1400 rpm, moderate load 16 h/day</t>
        </is>
      </c>
      <c r="S144" s="11" t="inlineStr">
        <is>
          <t>Hollow shaft, keyed</t>
        </is>
      </c>
      <c r="T144" s="11" t="inlineStr">
        <is>
          <t>Not available (input shaft + pulley)</t>
        </is>
      </c>
      <c r="U144" s="11" t="inlineStr">
        <is>
          <t>BSL backstop (CW/CCW 235/236); torque arm with rubber buffers; input shaft 131-136 variants; pulleys/belts quote separately</t>
        </is>
      </c>
      <c r="V144" s="11" t="inlineStr">
        <is>
          <t>IRNX 2024: ratings p.33; dims p.44</t>
        </is>
      </c>
      <c r="W144" s="11" t="inlineStr">
        <is>
          <t>Selected on "moderate load, 16 h/day (fs=1.50)" max-motor-kW column at n1=1400 rpm. DEVIATION: IRNX has a keyed input shaft for belt/pulley drive only; no IEC motor adaptor in the catalogue.</t>
        </is>
      </c>
      <c r="X144" s="13" t="inlineStr">
        <is>
          <t>İRNX 02</t>
        </is>
      </c>
      <c r="Y144" s="14" t="inlineStr">
        <is>
          <t>p.61 (IRNX series)</t>
        </is>
      </c>
      <c r="Z144" s="14" t="inlineStr">
        <is>
          <t>YES (no IEC version exists, input shaft only)</t>
        </is>
      </c>
      <c r="AA144" s="15" t="n">
        <v>436</v>
      </c>
      <c r="AB144" s="14" t="inlineStr">
        <is>
          <t>Shaft-mounted gear unit, hollow shaft, input shaft</t>
        </is>
      </c>
      <c r="AC144" s="16">
        <f>ROUND(AA144*(1-$L$2),2)</f>
        <v/>
      </c>
      <c r="AD144" s="17">
        <f>J144*AC144</f>
        <v/>
      </c>
      <c r="AE144" s="19" t="inlineStr">
        <is>
          <t>Backstop €149.00 → €96.85; torque arm, pulleys and belts not in price list, ask İ.Mak</t>
        </is>
      </c>
      <c r="AF144" s="18" t="n"/>
    </row>
    <row r="145">
      <c r="A145" s="8" t="inlineStr">
        <is>
          <t>GB-141</t>
        </is>
      </c>
      <c r="B145" s="8" t="inlineStr">
        <is>
          <t>Shaft Mounted Reducer</t>
        </is>
      </c>
      <c r="C145" s="8" t="inlineStr">
        <is>
          <t>SMSR / Equivalent</t>
        </is>
      </c>
      <c r="D145" s="8" t="inlineStr">
        <is>
          <t>Supplier selection</t>
        </is>
      </c>
      <c r="E145" s="8" t="n">
        <v>5.5</v>
      </c>
      <c r="F145" s="8" t="inlineStr">
        <is>
          <t>1:20</t>
        </is>
      </c>
      <c r="G145" s="8" t="inlineStr">
        <is>
          <t>Torque-arm mounted</t>
        </is>
      </c>
      <c r="H145" s="8" t="inlineStr">
        <is>
          <t>Hollow shaft, keyed</t>
        </is>
      </c>
      <c r="I145" s="8" t="inlineStr">
        <is>
          <t>IEC motor adaptor/input</t>
        </is>
      </c>
      <c r="J145" s="8" t="n">
        <v>1</v>
      </c>
      <c r="K145" s="9" t="inlineStr">
        <is>
          <t>İRNX (shaft mounted)</t>
        </is>
      </c>
      <c r="L145" s="10" t="inlineStr">
        <is>
          <t>İRNX 03  i=21</t>
        </is>
      </c>
      <c r="M145" s="11" t="inlineStr">
        <is>
          <t>— (belt driven; motor, pulleys and belts supplied separately)</t>
        </is>
      </c>
      <c r="N145" s="12" t="n">
        <v>21</v>
      </c>
      <c r="O145" s="9" t="n">
        <v>67</v>
      </c>
      <c r="P145" s="9" t="n">
        <v>1290</v>
      </c>
      <c r="Q145" s="11" t="inlineStr">
        <is>
          <t>6.4 kW max at fs 1.5</t>
        </is>
      </c>
      <c r="R145" s="11" t="inlineStr">
        <is>
          <t>IRNX table n1=1400 rpm, moderate load 16 h/day</t>
        </is>
      </c>
      <c r="S145" s="11" t="inlineStr">
        <is>
          <t>Hollow shaft, keyed</t>
        </is>
      </c>
      <c r="T145" s="11" t="inlineStr">
        <is>
          <t>Not available (input shaft + pulley)</t>
        </is>
      </c>
      <c r="U145" s="11" t="inlineStr">
        <is>
          <t>BSL backstop (CW/CCW 235/236); torque arm with rubber buffers; input shaft 131-136 variants; pulleys/belts quote separately</t>
        </is>
      </c>
      <c r="V145" s="11" t="inlineStr">
        <is>
          <t>IRNX 2024: ratings p.33; dims p.45</t>
        </is>
      </c>
      <c r="W145" s="11" t="inlineStr">
        <is>
          <t>Selected on "moderate load, 16 h/day (fs=1.50)" max-motor-kW column at n1=1400 rpm. İRNX 02 i=20 is only rated 4.1 kW at fs 1.5, so the next size is used. DEVIATION: IRNX has a keyed input shaft for belt/pulley drive only; no IEC motor adaptor in the catalogue.</t>
        </is>
      </c>
      <c r="X145" s="13" t="inlineStr">
        <is>
          <t>İRNX 03</t>
        </is>
      </c>
      <c r="Y145" s="14" t="inlineStr">
        <is>
          <t>p.61 (IRNX series)</t>
        </is>
      </c>
      <c r="Z145" s="14" t="inlineStr">
        <is>
          <t>YES (no IEC version exists, input shaft only)</t>
        </is>
      </c>
      <c r="AA145" s="15" t="n">
        <v>591</v>
      </c>
      <c r="AB145" s="14" t="inlineStr">
        <is>
          <t>Shaft-mounted gear unit, hollow shaft, input shaft</t>
        </is>
      </c>
      <c r="AC145" s="16">
        <f>ROUND(AA145*(1-$L$2),2)</f>
        <v/>
      </c>
      <c r="AD145" s="17">
        <f>J145*AC145</f>
        <v/>
      </c>
      <c r="AE145" s="19" t="inlineStr">
        <is>
          <t>Backstop €149.00 → €96.85; torque arm, pulleys and belts not in price list, ask İ.Mak</t>
        </is>
      </c>
      <c r="AF145" s="18" t="n"/>
    </row>
    <row r="146">
      <c r="A146" s="8" t="inlineStr">
        <is>
          <t>GB-142</t>
        </is>
      </c>
      <c r="B146" s="8" t="inlineStr">
        <is>
          <t>Shaft Mounted Reducer</t>
        </is>
      </c>
      <c r="C146" s="8" t="inlineStr">
        <is>
          <t>SMSR / Equivalent</t>
        </is>
      </c>
      <c r="D146" s="8" t="inlineStr">
        <is>
          <t>Supplier selection</t>
        </is>
      </c>
      <c r="E146" s="8" t="n">
        <v>7.5</v>
      </c>
      <c r="F146" s="8" t="inlineStr">
        <is>
          <t>1:20</t>
        </is>
      </c>
      <c r="G146" s="8" t="inlineStr">
        <is>
          <t>Torque-arm mounted</t>
        </is>
      </c>
      <c r="H146" s="8" t="inlineStr">
        <is>
          <t>Hollow shaft, keyed</t>
        </is>
      </c>
      <c r="I146" s="8" t="inlineStr">
        <is>
          <t>IEC motor adaptor/input</t>
        </is>
      </c>
      <c r="J146" s="8" t="n">
        <v>1</v>
      </c>
      <c r="K146" s="9" t="inlineStr">
        <is>
          <t>İRNX (shaft mounted)</t>
        </is>
      </c>
      <c r="L146" s="10" t="inlineStr">
        <is>
          <t>İRNX 04  i=20</t>
        </is>
      </c>
      <c r="M146" s="11" t="inlineStr">
        <is>
          <t>— (belt driven; motor, pulleys and belts supplied separately)</t>
        </is>
      </c>
      <c r="N146" s="12" t="n">
        <v>20</v>
      </c>
      <c r="O146" s="9" t="n">
        <v>70</v>
      </c>
      <c r="P146" s="9" t="n">
        <v>1800</v>
      </c>
      <c r="Q146" s="11" t="inlineStr">
        <is>
          <t>9.3 kW max at fs 1.5</t>
        </is>
      </c>
      <c r="R146" s="11" t="inlineStr">
        <is>
          <t>IRNX table n1=1400 rpm, moderate load 16 h/day</t>
        </is>
      </c>
      <c r="S146" s="11" t="inlineStr">
        <is>
          <t>Hollow shaft, keyed</t>
        </is>
      </c>
      <c r="T146" s="11" t="inlineStr">
        <is>
          <t>Not available (input shaft + pulley)</t>
        </is>
      </c>
      <c r="U146" s="11" t="inlineStr">
        <is>
          <t>BSL backstop (CW/CCW 235/236); torque arm with rubber buffers; input shaft 131-136 variants; pulleys/belts quote separately</t>
        </is>
      </c>
      <c r="V146" s="11" t="inlineStr">
        <is>
          <t>IRNX 2024: ratings p.34; dims p.46</t>
        </is>
      </c>
      <c r="W146" s="11" t="inlineStr">
        <is>
          <t>Selected on "moderate load, 16 h/day (fs=1.50)" max-motor-kW column at n1=1400 rpm. DEVIATION: IRNX has a keyed input shaft for belt/pulley drive only; no IEC motor adaptor in the catalogue.</t>
        </is>
      </c>
      <c r="X146" s="13" t="inlineStr">
        <is>
          <t>İRNX 04</t>
        </is>
      </c>
      <c r="Y146" s="14" t="inlineStr">
        <is>
          <t>p.61 (IRNX series)</t>
        </is>
      </c>
      <c r="Z146" s="14" t="inlineStr">
        <is>
          <t>YES (no IEC version exists, input shaft only)</t>
        </is>
      </c>
      <c r="AA146" s="15" t="n">
        <v>775</v>
      </c>
      <c r="AB146" s="14" t="inlineStr">
        <is>
          <t>Shaft-mounted gear unit, hollow shaft, input shaft</t>
        </is>
      </c>
      <c r="AC146" s="16">
        <f>ROUND(AA146*(1-$L$2),2)</f>
        <v/>
      </c>
      <c r="AD146" s="17">
        <f>J146*AC146</f>
        <v/>
      </c>
      <c r="AE146" s="19" t="inlineStr">
        <is>
          <t>Backstop €197.00 → €128.05; torque arm, pulleys and belts not in price list, ask İ.Mak</t>
        </is>
      </c>
      <c r="AF146" s="18" t="n"/>
    </row>
    <row r="147">
      <c r="A147" s="8" t="inlineStr">
        <is>
          <t>GB-143</t>
        </is>
      </c>
      <c r="B147" s="8" t="inlineStr">
        <is>
          <t>Shaft Mounted Reducer</t>
        </is>
      </c>
      <c r="C147" s="8" t="inlineStr">
        <is>
          <t>SMSR / Equivalent</t>
        </is>
      </c>
      <c r="D147" s="8" t="inlineStr">
        <is>
          <t>Supplier selection</t>
        </is>
      </c>
      <c r="E147" s="8" t="n">
        <v>11</v>
      </c>
      <c r="F147" s="8" t="inlineStr">
        <is>
          <t>1:20</t>
        </is>
      </c>
      <c r="G147" s="8" t="inlineStr">
        <is>
          <t>Torque-arm mounted</t>
        </is>
      </c>
      <c r="H147" s="8" t="inlineStr">
        <is>
          <t>Hollow shaft, keyed</t>
        </is>
      </c>
      <c r="I147" s="8" t="inlineStr">
        <is>
          <t>IEC motor adaptor/input</t>
        </is>
      </c>
      <c r="J147" s="8" t="n">
        <v>1</v>
      </c>
      <c r="K147" s="9" t="inlineStr">
        <is>
          <t>İRNX (shaft mounted)</t>
        </is>
      </c>
      <c r="L147" s="10" t="inlineStr">
        <is>
          <t>İRNX 05  i=21</t>
        </is>
      </c>
      <c r="M147" s="11" t="inlineStr">
        <is>
          <t>— (belt driven; motor, pulleys and belts supplied separately)</t>
        </is>
      </c>
      <c r="N147" s="12" t="n">
        <v>21</v>
      </c>
      <c r="O147" s="9" t="n">
        <v>68</v>
      </c>
      <c r="P147" s="9" t="n">
        <v>3160</v>
      </c>
      <c r="Q147" s="11" t="inlineStr">
        <is>
          <t>16.0 kW max at fs 1.5</t>
        </is>
      </c>
      <c r="R147" s="11" t="inlineStr">
        <is>
          <t>IRNX table n1=1400 rpm, moderate load 16 h/day</t>
        </is>
      </c>
      <c r="S147" s="11" t="inlineStr">
        <is>
          <t>Hollow shaft, keyed</t>
        </is>
      </c>
      <c r="T147" s="11" t="inlineStr">
        <is>
          <t>Not available (input shaft + pulley)</t>
        </is>
      </c>
      <c r="U147" s="11" t="inlineStr">
        <is>
          <t>BSL backstop (CW/CCW 235/236); torque arm with rubber buffers; input shaft 131-136 variants; pulleys/belts quote separately</t>
        </is>
      </c>
      <c r="V147" s="11" t="inlineStr">
        <is>
          <t>IRNX 2024: ratings p.34; dims p.47</t>
        </is>
      </c>
      <c r="W147" s="11" t="inlineStr">
        <is>
          <t>Selected on "moderate load, 16 h/day (fs=1.50)" max-motor-kW column at n1=1400 rpm. DEVIATION: IRNX has a keyed input shaft for belt/pulley drive only; no IEC motor adaptor in the catalogue.</t>
        </is>
      </c>
      <c r="X147" s="13" t="inlineStr">
        <is>
          <t>İRNX 05</t>
        </is>
      </c>
      <c r="Y147" s="14" t="inlineStr">
        <is>
          <t>p.61 (IRNX series)</t>
        </is>
      </c>
      <c r="Z147" s="14" t="inlineStr">
        <is>
          <t>YES (no IEC version exists, input shaft only)</t>
        </is>
      </c>
      <c r="AA147" s="15" t="n">
        <v>1043</v>
      </c>
      <c r="AB147" s="14" t="inlineStr">
        <is>
          <t>Shaft-mounted gear unit, hollow shaft, input shaft</t>
        </is>
      </c>
      <c r="AC147" s="16">
        <f>ROUND(AA147*(1-$L$2),2)</f>
        <v/>
      </c>
      <c r="AD147" s="17">
        <f>J147*AC147</f>
        <v/>
      </c>
      <c r="AE147" s="19" t="inlineStr">
        <is>
          <t>Backstop €197.00 → €128.05; torque arm, pulleys and belts not in price list, ask İ.Mak</t>
        </is>
      </c>
      <c r="AF147" s="18" t="n"/>
    </row>
    <row r="148">
      <c r="A148" s="8" t="inlineStr">
        <is>
          <t>GB-144</t>
        </is>
      </c>
      <c r="B148" s="8" t="inlineStr">
        <is>
          <t>Shaft Mounted Reducer</t>
        </is>
      </c>
      <c r="C148" s="8" t="inlineStr">
        <is>
          <t>SMSR / Equivalent</t>
        </is>
      </c>
      <c r="D148" s="8" t="inlineStr">
        <is>
          <t>Supplier selection</t>
        </is>
      </c>
      <c r="E148" s="8" t="n">
        <v>15</v>
      </c>
      <c r="F148" s="8" t="inlineStr">
        <is>
          <t>1:25</t>
        </is>
      </c>
      <c r="G148" s="8" t="inlineStr">
        <is>
          <t>Torque-arm mounted</t>
        </is>
      </c>
      <c r="H148" s="8" t="inlineStr">
        <is>
          <t>Hollow shaft, keyed</t>
        </is>
      </c>
      <c r="I148" s="8" t="inlineStr">
        <is>
          <t>IEC motor adaptor/input</t>
        </is>
      </c>
      <c r="J148" s="8" t="n">
        <v>1</v>
      </c>
      <c r="K148" s="9" t="inlineStr">
        <is>
          <t>İRNX (shaft mounted)</t>
        </is>
      </c>
      <c r="L148" s="10" t="inlineStr">
        <is>
          <t>İRNX 06  i=13  + pulley 1:2 (overall ≈1:26)</t>
        </is>
      </c>
      <c r="M148" s="11" t="inlineStr">
        <is>
          <t>— (belt driven; motor, pulleys and belts supplied separately)</t>
        </is>
      </c>
      <c r="N148" s="12" t="n">
        <v>26</v>
      </c>
      <c r="O148" s="9" t="n">
        <v>55</v>
      </c>
      <c r="P148" s="9" t="n">
        <v>4690</v>
      </c>
      <c r="Q148" s="11" t="inlineStr">
        <is>
          <t>19.0 kW max at fs 1.5</t>
        </is>
      </c>
      <c r="R148" s="11" t="inlineStr">
        <is>
          <t>IRNX table n1=1400 rpm, moderate load 16 h/day</t>
        </is>
      </c>
      <c r="S148" s="11" t="inlineStr">
        <is>
          <t>Hollow shaft, keyed</t>
        </is>
      </c>
      <c r="T148" s="11" t="inlineStr">
        <is>
          <t>Not available (input shaft + pulley)</t>
        </is>
      </c>
      <c r="U148" s="11" t="inlineStr">
        <is>
          <t>BSL backstop (CW/CCW 235/236); torque arm with rubber buffers; input shaft 131-136 variants; pulleys/belts quote separately</t>
        </is>
      </c>
      <c r="V148" s="11" t="inlineStr">
        <is>
          <t>IRNX 2024: ratings p.34; dims p.48</t>
        </is>
      </c>
      <c r="W148" s="11" t="inlineStr">
        <is>
          <t>Selected on "moderate load, 16 h/day (fs=1.50)" max-motor-kW column at n1=1400 rpm. Gear ratio 1:25 is not an IRNX ratio (IRNX gears are 5 / 13 / 20 / 30); overall 1:26 is reached with gearbox i=13 + V-belt pulley ratio 1:2 (catalogue pulley table). DEVIATION: IRNX has a keyed input shaft for belt/pulley drive only; no IEC motor adaptor in the catalogue. Direct-drive alternative: İRNX 05 i=21 (1:21 not 1:25, 16.0 kW at fs 1.5).</t>
        </is>
      </c>
      <c r="X148" s="13" t="inlineStr">
        <is>
          <t>İRNX 06</t>
        </is>
      </c>
      <c r="Y148" s="14" t="inlineStr">
        <is>
          <t>p.61 (IRNX series)</t>
        </is>
      </c>
      <c r="Z148" s="14" t="inlineStr">
        <is>
          <t>YES (no IEC version exists, input shaft only)</t>
        </is>
      </c>
      <c r="AA148" s="15" t="n">
        <v>1386</v>
      </c>
      <c r="AB148" s="14" t="inlineStr">
        <is>
          <t>Shaft-mounted gear unit, hollow shaft, input shaft</t>
        </is>
      </c>
      <c r="AC148" s="16">
        <f>ROUND(AA148*(1-$L$2),2)</f>
        <v/>
      </c>
      <c r="AD148" s="17">
        <f>J148*AC148</f>
        <v/>
      </c>
      <c r="AE148" s="19" t="inlineStr">
        <is>
          <t>Backstop €245.00 → €159.25; torque arm, pulleys and belts not in price list, ask İ.Mak</t>
        </is>
      </c>
      <c r="AF148" s="18" t="n"/>
    </row>
    <row r="149">
      <c r="A149" s="8" t="inlineStr">
        <is>
          <t>GB-145</t>
        </is>
      </c>
      <c r="B149" s="8" t="inlineStr">
        <is>
          <t>Shaft Mounted Reducer</t>
        </is>
      </c>
      <c r="C149" s="8" t="inlineStr">
        <is>
          <t>SMSR / Equivalent</t>
        </is>
      </c>
      <c r="D149" s="8" t="inlineStr">
        <is>
          <t>Supplier selection</t>
        </is>
      </c>
      <c r="E149" s="8" t="n">
        <v>30</v>
      </c>
      <c r="F149" s="8" t="inlineStr">
        <is>
          <t>1:25</t>
        </is>
      </c>
      <c r="G149" s="8" t="inlineStr">
        <is>
          <t>Torque-arm mounted</t>
        </is>
      </c>
      <c r="H149" s="8" t="inlineStr">
        <is>
          <t>Hollow shaft, keyed</t>
        </is>
      </c>
      <c r="I149" s="8" t="inlineStr">
        <is>
          <t>IEC motor adaptor/input</t>
        </is>
      </c>
      <c r="J149" s="8" t="n">
        <v>1</v>
      </c>
      <c r="K149" s="9" t="inlineStr">
        <is>
          <t>İRNX (shaft mounted)</t>
        </is>
      </c>
      <c r="L149" s="10" t="inlineStr">
        <is>
          <t>İRNX 08  i=13  + pulley 1:2 (overall ≈1:26)</t>
        </is>
      </c>
      <c r="M149" s="11" t="inlineStr">
        <is>
          <t>— (belt driven; motor, pulleys and belts supplied separately)</t>
        </is>
      </c>
      <c r="N149" s="12" t="n">
        <v>26</v>
      </c>
      <c r="O149" s="9" t="n">
        <v>53</v>
      </c>
      <c r="P149" s="9" t="n">
        <v>9920</v>
      </c>
      <c r="Q149" s="11" t="inlineStr">
        <is>
          <t>38.0 kW max at fs 1.5</t>
        </is>
      </c>
      <c r="R149" s="11" t="inlineStr">
        <is>
          <t>IRNX table n1=1400 rpm, moderate load 16 h/day</t>
        </is>
      </c>
      <c r="S149" s="11" t="inlineStr">
        <is>
          <t>Hollow shaft, keyed</t>
        </is>
      </c>
      <c r="T149" s="11" t="inlineStr">
        <is>
          <t>Not available (input shaft + pulley)</t>
        </is>
      </c>
      <c r="U149" s="11" t="inlineStr">
        <is>
          <t>BSL backstop (CW/CCW 235/236); torque arm with rubber buffers; input shaft 131-136 variants; pulleys/belts quote separately</t>
        </is>
      </c>
      <c r="V149" s="11" t="inlineStr">
        <is>
          <t>IRNX 2024: ratings p.35; dims p.50</t>
        </is>
      </c>
      <c r="W149" s="11" t="inlineStr">
        <is>
          <t>Selected on "moderate load, 16 h/day (fs=1.50)" max-motor-kW column at n1=1400 rpm. Gear ratio 1:25 is not an IRNX ratio (IRNX gears are 5 / 13 / 20 / 30); overall 1:26 is reached with gearbox i=13 + V-belt pulley ratio 1:2 (catalogue pulley table). DEVIATION: IRNX has a keyed input shaft for belt/pulley drive only; no IEC motor adaptor in the catalogue. Direct-drive alternative: İRNX 07 i=20 (1:20 not 1:25, 38.0 kW at fs 1.5).</t>
        </is>
      </c>
      <c r="X149" s="13" t="inlineStr">
        <is>
          <t>İRNX 08</t>
        </is>
      </c>
      <c r="Y149" s="14" t="inlineStr">
        <is>
          <t>p.61 (IRNX series)</t>
        </is>
      </c>
      <c r="Z149" s="14" t="inlineStr">
        <is>
          <t>YES (no IEC version exists, input shaft only)</t>
        </is>
      </c>
      <c r="AA149" s="15" t="n">
        <v>3599</v>
      </c>
      <c r="AB149" s="14" t="inlineStr">
        <is>
          <t>Shaft-mounted gear unit, hollow shaft, input shaft</t>
        </is>
      </c>
      <c r="AC149" s="16">
        <f>ROUND(AA149*(1-$L$2),2)</f>
        <v/>
      </c>
      <c r="AD149" s="17">
        <f>J149*AC149</f>
        <v/>
      </c>
      <c r="AE149" s="19" t="inlineStr">
        <is>
          <t>Backstop €351.00 → €228.15; torque arm, pulleys and belts not in price list, ask İ.Mak</t>
        </is>
      </c>
      <c r="AF149" s="18" t="n"/>
    </row>
    <row r="150">
      <c r="AC150" s="20" t="inlineStr">
        <is>
          <t>GRAND TOTAL (net)</t>
        </is>
      </c>
      <c r="AD150" s="21">
        <f>SUM(AD5:AD149)</f>
        <v/>
      </c>
    </row>
    <row r="151">
      <c r="AC151" s="22" t="inlineStr">
        <is>
          <t>Grand total (list)</t>
        </is>
      </c>
      <c r="AD151" s="23">
        <f>SUMPRODUCT(J5:J149,AA5:AA149)</f>
        <v/>
      </c>
    </row>
  </sheetData>
  <autoFilter ref="A4:AF149"/>
  <mergeCells count="2">
    <mergeCell ref="A1:AF1"/>
    <mergeCell ref="A2:J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1" customWidth="1" min="3" max="3"/>
    <col width="16" customWidth="1" min="4" max="4"/>
    <col width="16" customWidth="1" min="5" max="5"/>
  </cols>
  <sheetData>
    <row r="1">
      <c r="A1" s="24" t="inlineStr">
        <is>
          <t>Price summary by category</t>
        </is>
      </c>
    </row>
    <row r="3">
      <c r="A3" s="25" t="inlineStr">
        <is>
          <t>Category</t>
        </is>
      </c>
      <c r="B3" s="25" t="inlineStr">
        <is>
          <t>Lines</t>
        </is>
      </c>
      <c r="C3" s="25" t="inlineStr">
        <is>
          <t>Units (Qty)</t>
        </is>
      </c>
      <c r="D3" s="25" t="inlineStr">
        <is>
          <t>List total (€)</t>
        </is>
      </c>
      <c r="E3" s="25" t="inlineStr">
        <is>
          <t>Net total (€)</t>
        </is>
      </c>
    </row>
    <row r="4">
      <c r="A4" s="26" t="inlineStr">
        <is>
          <t>Worm Gearbox</t>
        </is>
      </c>
      <c r="B4" s="26">
        <f>COUNTIF('İ.Mak Priced Quotation'!$B$5:$B$149,A4)</f>
        <v/>
      </c>
      <c r="C4" s="26">
        <f>SUMIF('İ.Mak Priced Quotation'!$B$5:$B$149,A4,'İ.Mak Priced Quotation'!$J$5:$J$149)</f>
        <v/>
      </c>
      <c r="D4" s="27">
        <f>SUMPRODUCT(('İ.Mak Priced Quotation'!$B$5:$B$149=A4)*'İ.Mak Priced Quotation'!$J$5:$J$149*'İ.Mak Priced Quotation'!$AA$5:$AA$149)</f>
        <v/>
      </c>
      <c r="E4" s="27">
        <f>SUMIF('İ.Mak Priced Quotation'!$B$5:$B$149,A4,'İ.Mak Priced Quotation'!$AD$5:$AD$149)</f>
        <v/>
      </c>
    </row>
    <row r="5">
      <c r="A5" s="26" t="inlineStr">
        <is>
          <t>Helical Inline</t>
        </is>
      </c>
      <c r="B5" s="26">
        <f>COUNTIF('İ.Mak Priced Quotation'!$B$5:$B$149,A5)</f>
        <v/>
      </c>
      <c r="C5" s="26">
        <f>SUMIF('İ.Mak Priced Quotation'!$B$5:$B$149,A5,'İ.Mak Priced Quotation'!$J$5:$J$149)</f>
        <v/>
      </c>
      <c r="D5" s="27">
        <f>SUMPRODUCT(('İ.Mak Priced Quotation'!$B$5:$B$149=A5)*'İ.Mak Priced Quotation'!$J$5:$J$149*'İ.Mak Priced Quotation'!$AA$5:$AA$149)</f>
        <v/>
      </c>
      <c r="E5" s="27">
        <f>SUMIF('İ.Mak Priced Quotation'!$B$5:$B$149,A5,'İ.Mak Priced Quotation'!$AD$5:$AD$149)</f>
        <v/>
      </c>
    </row>
    <row r="6">
      <c r="A6" s="26" t="inlineStr">
        <is>
          <t>Helical Bevel</t>
        </is>
      </c>
      <c r="B6" s="26">
        <f>COUNTIF('İ.Mak Priced Quotation'!$B$5:$B$149,A6)</f>
        <v/>
      </c>
      <c r="C6" s="26">
        <f>SUMIF('İ.Mak Priced Quotation'!$B$5:$B$149,A6,'İ.Mak Priced Quotation'!$J$5:$J$149)</f>
        <v/>
      </c>
      <c r="D6" s="27">
        <f>SUMPRODUCT(('İ.Mak Priced Quotation'!$B$5:$B$149=A6)*'İ.Mak Priced Quotation'!$J$5:$J$149*'İ.Mak Priced Quotation'!$AA$5:$AA$149)</f>
        <v/>
      </c>
      <c r="E6" s="27">
        <f>SUMIF('İ.Mak Priced Quotation'!$B$5:$B$149,A6,'İ.Mak Priced Quotation'!$AD$5:$AD$149)</f>
        <v/>
      </c>
    </row>
    <row r="7">
      <c r="A7" s="26" t="inlineStr">
        <is>
          <t>Parallel Shaft</t>
        </is>
      </c>
      <c r="B7" s="26">
        <f>COUNTIF('İ.Mak Priced Quotation'!$B$5:$B$149,A7)</f>
        <v/>
      </c>
      <c r="C7" s="26">
        <f>SUMIF('İ.Mak Priced Quotation'!$B$5:$B$149,A7,'İ.Mak Priced Quotation'!$J$5:$J$149)</f>
        <v/>
      </c>
      <c r="D7" s="27">
        <f>SUMPRODUCT(('İ.Mak Priced Quotation'!$B$5:$B$149=A7)*'İ.Mak Priced Quotation'!$J$5:$J$149*'İ.Mak Priced Quotation'!$AA$5:$AA$149)</f>
        <v/>
      </c>
      <c r="E7" s="27">
        <f>SUMIF('İ.Mak Priced Quotation'!$B$5:$B$149,A7,'İ.Mak Priced Quotation'!$AD$5:$AD$149)</f>
        <v/>
      </c>
    </row>
    <row r="8">
      <c r="A8" s="26" t="inlineStr">
        <is>
          <t>Shaft Mounted Reducer</t>
        </is>
      </c>
      <c r="B8" s="26">
        <f>COUNTIF('İ.Mak Priced Quotation'!$B$5:$B$149,A8)</f>
        <v/>
      </c>
      <c r="C8" s="26">
        <f>SUMIF('İ.Mak Priced Quotation'!$B$5:$B$149,A8,'İ.Mak Priced Quotation'!$J$5:$J$149)</f>
        <v/>
      </c>
      <c r="D8" s="27">
        <f>SUMPRODUCT(('İ.Mak Priced Quotation'!$B$5:$B$149=A8)*'İ.Mak Priced Quotation'!$J$5:$J$149*'İ.Mak Priced Quotation'!$AA$5:$AA$149)</f>
        <v/>
      </c>
      <c r="E8" s="27">
        <f>SUMIF('İ.Mak Priced Quotation'!$B$5:$B$149,A8,'İ.Mak Priced Quotation'!$AD$5:$AD$149)</f>
        <v/>
      </c>
    </row>
    <row r="9">
      <c r="A9" s="28" t="inlineStr">
        <is>
          <t>TOTAL</t>
        </is>
      </c>
      <c r="B9" s="28">
        <f>SUM(B4:B8)</f>
        <v/>
      </c>
      <c r="C9" s="28">
        <f>SUM(C4:C8)</f>
        <v/>
      </c>
      <c r="D9" s="29">
        <f>SUM(D4:D8)</f>
        <v/>
      </c>
      <c r="E9" s="29">
        <f>SUM(E4:E8)</f>
        <v/>
      </c>
    </row>
    <row r="11">
      <c r="A11" s="2" t="inlineStr">
        <is>
          <t>Discount applied: see 'İ.Mak Priced Quotation'!L2 (35%). Options listed per line (flanges, shafts, torque arms, shrink discs, backstops) are NOT included in these totals unless the "What the Unit Price Includes" column says so.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40" customWidth="1" min="2" max="2"/>
  </cols>
  <sheetData>
    <row r="1">
      <c r="A1" s="30" t="inlineStr">
        <is>
          <t>Pricing basis</t>
        </is>
      </c>
      <c r="B1" s="31" t="inlineStr"/>
    </row>
    <row r="2">
      <c r="A2" s="32" t="inlineStr">
        <is>
          <t>Source</t>
        </is>
      </c>
      <c r="B2" s="31" t="inlineStr">
        <is>
          <t>İ.Mak Gearbox Standard Series Euro Price List, 26.01.2026 (67 pp.). Page numbers quoted are the printed page numbers (PDF page − 1).</t>
        </is>
      </c>
    </row>
    <row r="3">
      <c r="A3" s="32" t="inlineStr">
        <is>
          <t>Discount</t>
        </is>
      </c>
      <c r="B3" s="31" t="inlineStr">
        <is>
          <t>35% off list price, applied through cell L2 on the quotation sheet: Net = ROUND(List × (1 − 35%), 2); Total = Qty × Net.</t>
        </is>
      </c>
    </row>
    <row r="4">
      <c r="A4" s="32" t="inlineStr">
        <is>
          <t>IEC input</t>
        </is>
      </c>
      <c r="B4" s="31" t="inlineStr">
        <is>
          <t>Every helical unit is priced as the IEC B5/B14 (PAM) flanged reducer, matched on the exact type AND IEC frame in the price list: IRP (p.15-19), IRKP (p.31-34), YPP (p.45-48). Worm units: S/SP (SP = IEC flange, same price as S, p.55) and IRS-IRSP (p.51). The script checked that every designation + IEC frame exists; all 145 lines were found.</t>
        </is>
      </c>
    </row>
    <row r="5">
      <c r="A5" s="32" t="inlineStr">
        <is>
          <t>Included in unit price</t>
        </is>
      </c>
      <c r="B5" s="31" t="inlineStr">
        <is>
          <t>IR: IRAP (foot) or IRFP (flange) column, solid output shaft standard. IRK hollow + torque-arm lines: IRKP + torque arm (RFQ says "include torque arm"). IRK foot + solid shaft lines: IRKP + single output shaft (foot). YP hollow lines: YPP only (no YP torque arm in the price list). YP foot + solid shaft lines: YPP + output shaft (foot). Worm: gearbox only; the RFQ asks for flange, torque arm and shafts to be quoted separately, so they are in the options column.</t>
        </is>
      </c>
    </row>
    <row r="6">
      <c r="A6" s="32" t="inlineStr">
        <is>
          <t>Worm 130/150 – cast iron</t>
        </is>
      </c>
      <c r="B6" s="31" t="inlineStr">
        <is>
          <t>The price list names the S series "ALUMINIUM SERIES WORM GEAR UNITS" (p.55), so S130/S150 cannot meet the RFQ cast-iron requirement. GB-046…049 now use cast-iron İRSA 127 (IRS-IRSP 127, p.51) with i=52 (for 1:50) and i=65 (for 1:60); its rated torque is at least that of S130/S150 at the same ratio (catalogue p.63). Aluminium S/SP prices are shown in the notes for reference.</t>
        </is>
      </c>
    </row>
    <row r="7">
      <c r="A7" s="32" t="inlineStr">
        <is>
          <t>Not in price list – ask İ.Mak</t>
        </is>
      </c>
      <c r="B7" s="31" t="inlineStr">
        <is>
          <t>YP torque arm (GB-121…130, required by RFQ) · İRNX torque arm, input pulley and belts · İRNX IEC motor adaptor (does not exist; belt drive only) · İRNX 01 backstop (shown as "-" = not available) · helical gearmotor versions are priced by kW/rpm on pp.3-13 and are not included here.</t>
        </is>
      </c>
    </row>
    <row r="8">
      <c r="A8" s="32" t="inlineStr">
        <is>
          <t>Special options (p.1)</t>
        </is>
      </c>
      <c r="B8" s="31" t="inlineStr">
        <is>
          <t>Special hollow shaft +10% (e.g. Ø45 bore on İRS 127 for NMRV130) · synthetic oil −40 °C €30/L · food-grade oil €25/L · epoxy paint +2% · ATEX +15%.</t>
        </is>
      </c>
    </row>
    <row r="9">
      <c r="A9" s="32" t="inlineStr">
        <is>
          <t>Technical selection</t>
        </is>
      </c>
      <c r="B9" s="31" t="inlineStr">
        <is>
          <t>Unchanged from the previous revision (see catalogue references per line): smallest housing with Sf ≥ 1.5 at the motor kW with a 4-pole motor, ratio within ±5% where possible (±10% maximum).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2026-09-24T13:11:12Z</dcterms:created>
  <dcterms:modified xsi:type="dcterms:W3CDTF">2026-09-24T13:11:12Z</dcterms:modified>
</cp:coreProperties>
</file>