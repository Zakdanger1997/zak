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>
    <definedName name="_xlnm._FilterDatabase" localSheetId="0" hidden="1">'RFQ'!$A$5:$O$150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Arial"/>
      <b val="1"/>
      <color rgb="000000FF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F00"/>
      </patternFill>
    </fill>
    <fill>
      <patternFill patternType="solid">
        <fgColor rgb="007A4E00"/>
      </patternFill>
    </fill>
    <fill>
      <patternFill patternType="solid">
        <fgColor rgb="00DCE9F5"/>
      </patternFill>
    </fill>
    <fill>
      <patternFill patternType="solid">
        <fgColor rgb="00FFF4E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right"/>
    </xf>
    <xf numFmtId="9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/>
    </xf>
    <xf numFmtId="0" fontId="7" fillId="6" borderId="1" applyAlignment="1" pivotButton="0" quotePrefix="0" xfId="0">
      <alignment vertical="top" wrapText="1"/>
    </xf>
    <xf numFmtId="4" fontId="7" fillId="7" borderId="1" applyAlignment="1" pivotButton="0" quotePrefix="0" xfId="0">
      <alignment vertical="top"/>
    </xf>
    <xf numFmtId="4" fontId="6" fillId="7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6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6" customWidth="1" min="4" max="4"/>
    <col width="9" customWidth="1" min="5" max="5"/>
    <col width="9" customWidth="1" min="6" max="6"/>
    <col width="20" customWidth="1" min="7" max="7"/>
    <col width="17" customWidth="1" min="8" max="8"/>
    <col width="20" customWidth="1" min="9" max="9"/>
    <col width="5" customWidth="1" min="10" max="10"/>
    <col width="40" customWidth="1" min="11" max="11"/>
    <col width="11" customWidth="1" min="12" max="12"/>
    <col width="12" customWidth="1" min="13" max="13"/>
    <col width="10" customWidth="1" min="14" max="14"/>
    <col width="90" customWidth="1" min="15" max="15"/>
  </cols>
  <sheetData>
    <row r="1">
      <c r="A1" s="1" t="inlineStr">
        <is>
          <t>REQUEST FOR QUOTATION – GEARBOXES &amp; SPEED REDUCERS</t>
        </is>
      </c>
    </row>
    <row r="2" ht="26" customHeight="1">
      <c r="A2" s="2" t="inlineStr">
        <is>
          <t>Offered: İ.Mak equivalents. Prices in € EXW from the İ.Mak Euro Price List of 26.01.2026, less the discount in cell O3. Unit Price = gear unit with IEC input; options are priced in the Notes column (list → net).</t>
        </is>
      </c>
    </row>
    <row r="3">
      <c r="N3" s="3" t="inlineStr">
        <is>
          <t>Discount:</t>
        </is>
      </c>
      <c r="O3" s="4" t="n">
        <v>0.35</v>
      </c>
    </row>
    <row r="5" ht="30" customHeight="1">
      <c r="A5" s="5" t="inlineStr">
        <is>
          <t>Item No.</t>
        </is>
      </c>
      <c r="B5" s="5" t="inlineStr">
        <is>
          <t>Category</t>
        </is>
      </c>
      <c r="C5" s="5" t="inlineStr">
        <is>
          <t>Series / Type</t>
        </is>
      </c>
      <c r="D5" s="5" t="inlineStr">
        <is>
          <t>Size</t>
        </is>
      </c>
      <c r="E5" s="5" t="inlineStr">
        <is>
          <t>Motor Power (kW)</t>
        </is>
      </c>
      <c r="F5" s="5" t="inlineStr">
        <is>
          <t>Reduction Ratio</t>
        </is>
      </c>
      <c r="G5" s="5" t="inlineStr">
        <is>
          <t>Mounting</t>
        </is>
      </c>
      <c r="H5" s="5" t="inlineStr">
        <is>
          <t>Output</t>
        </is>
      </c>
      <c r="I5" s="5" t="inlineStr">
        <is>
          <t>Input</t>
        </is>
      </c>
      <c r="J5" s="5" t="inlineStr">
        <is>
          <t>Qty</t>
        </is>
      </c>
      <c r="K5" s="6" t="inlineStr">
        <is>
          <t>İ.Mak Equivalent Unit (Offered)</t>
        </is>
      </c>
      <c r="L5" s="5" t="inlineStr">
        <is>
          <t>Unit Price (€, net)</t>
        </is>
      </c>
      <c r="M5" s="5" t="inlineStr">
        <is>
          <t>Total Price (€, net)</t>
        </is>
      </c>
      <c r="N5" s="5" t="inlineStr">
        <is>
          <t>Lead Time</t>
        </is>
      </c>
      <c r="O5" s="5" t="inlineStr">
        <is>
          <t>Notes / Supplier Deviation</t>
        </is>
      </c>
    </row>
    <row r="6">
      <c r="A6" s="7" t="inlineStr">
        <is>
          <t>GB-001</t>
        </is>
      </c>
      <c r="B6" s="7" t="inlineStr">
        <is>
          <t>Worm Gearbox</t>
        </is>
      </c>
      <c r="C6" s="7" t="inlineStr">
        <is>
          <t>NMRV</t>
        </is>
      </c>
      <c r="D6" s="7" t="inlineStr">
        <is>
          <t>040</t>
        </is>
      </c>
      <c r="E6" s="7" t="n"/>
      <c r="F6" s="7" t="inlineStr">
        <is>
          <t>1:10</t>
        </is>
      </c>
      <c r="G6" s="7" t="inlineStr">
        <is>
          <t>Universal</t>
        </is>
      </c>
      <c r="H6" s="7" t="inlineStr">
        <is>
          <t>Hollow shaft, keyed</t>
        </is>
      </c>
      <c r="I6" s="7" t="inlineStr">
        <is>
          <t>IEC motor adaptor/input</t>
        </is>
      </c>
      <c r="J6" s="7" t="n">
        <v>6</v>
      </c>
      <c r="K6" s="8" t="inlineStr">
        <is>
          <t>SP 40 i=10 (IEC B14/B5 input flange, hollow output)</t>
        </is>
      </c>
      <c r="L6" s="9">
        <f>ROUND(105*(1-$O$3),2)</f>
        <v/>
      </c>
      <c r="M6" s="10">
        <f>J6*L6</f>
        <v/>
      </c>
      <c r="N6" s="11" t="n"/>
      <c r="O6" s="12" t="inlineStr">
        <is>
          <t>Factory-filled oil; quote output flange, torque arm and shafts separately | Direct NMRV equivalent, i=10, hollow Ø18 | Options (list → net): Output flange €7.00 → €4.55; Torque arm €9.00 → €5.85; Output shaft €8.00 → €5.20</t>
        </is>
      </c>
    </row>
    <row r="7">
      <c r="A7" s="13" t="inlineStr">
        <is>
          <t>GB-002</t>
        </is>
      </c>
      <c r="B7" s="13" t="inlineStr">
        <is>
          <t>Worm Gearbox</t>
        </is>
      </c>
      <c r="C7" s="13" t="inlineStr">
        <is>
          <t>NMRV</t>
        </is>
      </c>
      <c r="D7" s="13" t="inlineStr">
        <is>
          <t>040</t>
        </is>
      </c>
      <c r="E7" s="13" t="n"/>
      <c r="F7" s="13" t="inlineStr">
        <is>
          <t>1:15</t>
        </is>
      </c>
      <c r="G7" s="13" t="inlineStr">
        <is>
          <t>Universal</t>
        </is>
      </c>
      <c r="H7" s="13" t="inlineStr">
        <is>
          <t>Hollow shaft, keyed</t>
        </is>
      </c>
      <c r="I7" s="13" t="inlineStr">
        <is>
          <t>IEC motor adaptor/input</t>
        </is>
      </c>
      <c r="J7" s="13" t="n">
        <v>5</v>
      </c>
      <c r="K7" s="8" t="inlineStr">
        <is>
          <t>SP 40 i=15 (IEC B14/B5 input flange, hollow output)</t>
        </is>
      </c>
      <c r="L7" s="9">
        <f>ROUND(105*(1-$O$3),2)</f>
        <v/>
      </c>
      <c r="M7" s="10">
        <f>J7*L7</f>
        <v/>
      </c>
      <c r="N7" s="11" t="n"/>
      <c r="O7" s="12" t="inlineStr">
        <is>
          <t>Factory-filled oil; quote output flange, torque arm and shafts separately | Direct NMRV equivalent, i=15, hollow Ø18 | Options (list → net): Output flange €7.00 → €4.55; Torque arm €9.00 → €5.85; Output shaft €8.00 → €5.20</t>
        </is>
      </c>
    </row>
    <row r="8">
      <c r="A8" s="7" t="inlineStr">
        <is>
          <t>GB-003</t>
        </is>
      </c>
      <c r="B8" s="7" t="inlineStr">
        <is>
          <t>Worm Gearbox</t>
        </is>
      </c>
      <c r="C8" s="7" t="inlineStr">
        <is>
          <t>NMRV</t>
        </is>
      </c>
      <c r="D8" s="7" t="inlineStr">
        <is>
          <t>040</t>
        </is>
      </c>
      <c r="E8" s="7" t="n"/>
      <c r="F8" s="7" t="inlineStr">
        <is>
          <t>1:20</t>
        </is>
      </c>
      <c r="G8" s="7" t="inlineStr">
        <is>
          <t>Universal</t>
        </is>
      </c>
      <c r="H8" s="7" t="inlineStr">
        <is>
          <t>Hollow shaft, keyed</t>
        </is>
      </c>
      <c r="I8" s="7" t="inlineStr">
        <is>
          <t>IEC motor adaptor/input</t>
        </is>
      </c>
      <c r="J8" s="7" t="n">
        <v>6</v>
      </c>
      <c r="K8" s="8" t="inlineStr">
        <is>
          <t>SP 40 i=20 (IEC B14/B5 input flange, hollow output)</t>
        </is>
      </c>
      <c r="L8" s="9">
        <f>ROUND(105*(1-$O$3),2)</f>
        <v/>
      </c>
      <c r="M8" s="10">
        <f>J8*L8</f>
        <v/>
      </c>
      <c r="N8" s="11" t="n"/>
      <c r="O8" s="12" t="inlineStr">
        <is>
          <t>Factory-filled oil; quote output flange, torque arm and shafts separately | Direct NMRV equivalent, i=20, hollow Ø18 | Options (list → net): Output flange €7.00 → €4.55; Torque arm €9.00 → €5.85; Output shaft €8.00 → €5.20</t>
        </is>
      </c>
    </row>
    <row r="9">
      <c r="A9" s="13" t="inlineStr">
        <is>
          <t>GB-004</t>
        </is>
      </c>
      <c r="B9" s="13" t="inlineStr">
        <is>
          <t>Worm Gearbox</t>
        </is>
      </c>
      <c r="C9" s="13" t="inlineStr">
        <is>
          <t>NMRV</t>
        </is>
      </c>
      <c r="D9" s="13" t="inlineStr">
        <is>
          <t>040</t>
        </is>
      </c>
      <c r="E9" s="13" t="n"/>
      <c r="F9" s="13" t="inlineStr">
        <is>
          <t>1:25</t>
        </is>
      </c>
      <c r="G9" s="13" t="inlineStr">
        <is>
          <t>Universal</t>
        </is>
      </c>
      <c r="H9" s="13" t="inlineStr">
        <is>
          <t>Hollow shaft, keyed</t>
        </is>
      </c>
      <c r="I9" s="13" t="inlineStr">
        <is>
          <t>IEC motor adaptor/input</t>
        </is>
      </c>
      <c r="J9" s="13" t="n">
        <v>4</v>
      </c>
      <c r="K9" s="8" t="inlineStr">
        <is>
          <t>SP 40 i=25 (IEC B14/B5 input flange, hollow output)</t>
        </is>
      </c>
      <c r="L9" s="9">
        <f>ROUND(105*(1-$O$3),2)</f>
        <v/>
      </c>
      <c r="M9" s="10">
        <f>J9*L9</f>
        <v/>
      </c>
      <c r="N9" s="11" t="n"/>
      <c r="O9" s="12" t="inlineStr">
        <is>
          <t>Factory-filled oil; quote output flange, torque arm and shafts separately | Direct NMRV equivalent, i=25, hollow Ø18 | Options (list → net): Output flange €7.00 → €4.55; Torque arm €9.00 → €5.85; Output shaft €8.00 → €5.20</t>
        </is>
      </c>
    </row>
    <row r="10">
      <c r="A10" s="7" t="inlineStr">
        <is>
          <t>GB-005</t>
        </is>
      </c>
      <c r="B10" s="7" t="inlineStr">
        <is>
          <t>Worm Gearbox</t>
        </is>
      </c>
      <c r="C10" s="7" t="inlineStr">
        <is>
          <t>NMRV</t>
        </is>
      </c>
      <c r="D10" s="7" t="inlineStr">
        <is>
          <t>040</t>
        </is>
      </c>
      <c r="E10" s="7" t="n"/>
      <c r="F10" s="7" t="inlineStr">
        <is>
          <t>1:30</t>
        </is>
      </c>
      <c r="G10" s="7" t="inlineStr">
        <is>
          <t>Universal</t>
        </is>
      </c>
      <c r="H10" s="7" t="inlineStr">
        <is>
          <t>Hollow shaft, keyed</t>
        </is>
      </c>
      <c r="I10" s="7" t="inlineStr">
        <is>
          <t>IEC motor adaptor/input</t>
        </is>
      </c>
      <c r="J10" s="7" t="n">
        <v>5</v>
      </c>
      <c r="K10" s="8" t="inlineStr">
        <is>
          <t>SP 40 i=30 (IEC B14/B5 input flange, hollow output)</t>
        </is>
      </c>
      <c r="L10" s="9">
        <f>ROUND(105*(1-$O$3),2)</f>
        <v/>
      </c>
      <c r="M10" s="10">
        <f>J10*L10</f>
        <v/>
      </c>
      <c r="N10" s="11" t="n"/>
      <c r="O10" s="12" t="inlineStr">
        <is>
          <t>Factory-filled oil; quote output flange, torque arm and shafts separately | Direct NMRV equivalent, i=30, hollow Ø18 | Options (list → net): Output flange €7.00 → €4.55; Torque arm €9.00 → €5.85; Output shaft €8.00 → €5.20</t>
        </is>
      </c>
    </row>
    <row r="11">
      <c r="A11" s="13" t="inlineStr">
        <is>
          <t>GB-006</t>
        </is>
      </c>
      <c r="B11" s="13" t="inlineStr">
        <is>
          <t>Worm Gearbox</t>
        </is>
      </c>
      <c r="C11" s="13" t="inlineStr">
        <is>
          <t>NMRV</t>
        </is>
      </c>
      <c r="D11" s="13" t="inlineStr">
        <is>
          <t>040</t>
        </is>
      </c>
      <c r="E11" s="13" t="n"/>
      <c r="F11" s="13" t="inlineStr">
        <is>
          <t>1:40</t>
        </is>
      </c>
      <c r="G11" s="13" t="inlineStr">
        <is>
          <t>Universal</t>
        </is>
      </c>
      <c r="H11" s="13" t="inlineStr">
        <is>
          <t>Hollow shaft, keyed</t>
        </is>
      </c>
      <c r="I11" s="13" t="inlineStr">
        <is>
          <t>IEC motor adaptor/input</t>
        </is>
      </c>
      <c r="J11" s="13" t="n">
        <v>4</v>
      </c>
      <c r="K11" s="8" t="inlineStr">
        <is>
          <t>SP 40 i=40 (IEC B14/B5 input flange, hollow output)</t>
        </is>
      </c>
      <c r="L11" s="9">
        <f>ROUND(105*(1-$O$3),2)</f>
        <v/>
      </c>
      <c r="M11" s="10">
        <f>J11*L11</f>
        <v/>
      </c>
      <c r="N11" s="11" t="n"/>
      <c r="O11" s="12" t="inlineStr">
        <is>
          <t>Factory-filled oil; quote output flange, torque arm and shafts separately | Direct NMRV equivalent, i=40, hollow Ø18 | Options (list → net): Output flange €7.00 → €4.55; Torque arm €9.00 → €5.85; Output shaft €8.00 → €5.20</t>
        </is>
      </c>
    </row>
    <row r="12">
      <c r="A12" s="7" t="inlineStr">
        <is>
          <t>GB-007</t>
        </is>
      </c>
      <c r="B12" s="7" t="inlineStr">
        <is>
          <t>Worm Gearbox</t>
        </is>
      </c>
      <c r="C12" s="7" t="inlineStr">
        <is>
          <t>NMRV</t>
        </is>
      </c>
      <c r="D12" s="7" t="inlineStr">
        <is>
          <t>040</t>
        </is>
      </c>
      <c r="E12" s="7" t="n"/>
      <c r="F12" s="7" t="inlineStr">
        <is>
          <t>1:50</t>
        </is>
      </c>
      <c r="G12" s="7" t="inlineStr">
        <is>
          <t>Universal</t>
        </is>
      </c>
      <c r="H12" s="7" t="inlineStr">
        <is>
          <t>Hollow shaft, keyed</t>
        </is>
      </c>
      <c r="I12" s="7" t="inlineStr">
        <is>
          <t>IEC motor adaptor/input</t>
        </is>
      </c>
      <c r="J12" s="7" t="n">
        <v>4</v>
      </c>
      <c r="K12" s="8" t="inlineStr">
        <is>
          <t>SP 40 i=50 (IEC B14/B5 input flange, hollow output)</t>
        </is>
      </c>
      <c r="L12" s="9">
        <f>ROUND(105*(1-$O$3),2)</f>
        <v/>
      </c>
      <c r="M12" s="10">
        <f>J12*L12</f>
        <v/>
      </c>
      <c r="N12" s="11" t="n"/>
      <c r="O12" s="12" t="inlineStr">
        <is>
          <t>Factory-filled oil; quote output flange, torque arm and shafts separately | Direct NMRV equivalent, i=50, hollow Ø18 | Options (list → net): Output flange €7.00 → €4.55; Torque arm €9.00 → €5.85; Output shaft €8.00 → €5.20</t>
        </is>
      </c>
    </row>
    <row r="13">
      <c r="A13" s="13" t="inlineStr">
        <is>
          <t>GB-008</t>
        </is>
      </c>
      <c r="B13" s="13" t="inlineStr">
        <is>
          <t>Worm Gearbox</t>
        </is>
      </c>
      <c r="C13" s="13" t="inlineStr">
        <is>
          <t>NMRV</t>
        </is>
      </c>
      <c r="D13" s="13" t="inlineStr">
        <is>
          <t>040</t>
        </is>
      </c>
      <c r="E13" s="13" t="n"/>
      <c r="F13" s="13" t="inlineStr">
        <is>
          <t>1:60</t>
        </is>
      </c>
      <c r="G13" s="13" t="inlineStr">
        <is>
          <t>Universal</t>
        </is>
      </c>
      <c r="H13" s="13" t="inlineStr">
        <is>
          <t>Hollow shaft, keyed</t>
        </is>
      </c>
      <c r="I13" s="13" t="inlineStr">
        <is>
          <t>IEC motor adaptor/input</t>
        </is>
      </c>
      <c r="J13" s="13" t="n">
        <v>2</v>
      </c>
      <c r="K13" s="8" t="inlineStr">
        <is>
          <t>SP 40 i=60 (IEC B14/B5 input flange, hollow output)</t>
        </is>
      </c>
      <c r="L13" s="9">
        <f>ROUND(105*(1-$O$3),2)</f>
        <v/>
      </c>
      <c r="M13" s="10">
        <f>J13*L13</f>
        <v/>
      </c>
      <c r="N13" s="11" t="n"/>
      <c r="O13" s="12" t="inlineStr">
        <is>
          <t>Factory-filled oil; quote output flange, torque arm and shafts separately | Direct NMRV equivalent, i=60, hollow Ø18 | Options (list → net): Output flange €7.00 → €4.55; Torque arm €9.00 → €5.85; Output shaft €8.00 → €5.20</t>
        </is>
      </c>
    </row>
    <row r="14">
      <c r="A14" s="7" t="inlineStr">
        <is>
          <t>GB-009</t>
        </is>
      </c>
      <c r="B14" s="7" t="inlineStr">
        <is>
          <t>Worm Gearbox</t>
        </is>
      </c>
      <c r="C14" s="7" t="inlineStr">
        <is>
          <t>NMRV</t>
        </is>
      </c>
      <c r="D14" s="7" t="inlineStr">
        <is>
          <t>050</t>
        </is>
      </c>
      <c r="E14" s="7" t="n"/>
      <c r="F14" s="7" t="inlineStr">
        <is>
          <t>1:10</t>
        </is>
      </c>
      <c r="G14" s="7" t="inlineStr">
        <is>
          <t>Universal</t>
        </is>
      </c>
      <c r="H14" s="7" t="inlineStr">
        <is>
          <t>Hollow shaft, keyed</t>
        </is>
      </c>
      <c r="I14" s="7" t="inlineStr">
        <is>
          <t>IEC motor adaptor/input</t>
        </is>
      </c>
      <c r="J14" s="7" t="n">
        <v>6</v>
      </c>
      <c r="K14" s="8" t="inlineStr">
        <is>
          <t>SP 50 i=10 (IEC B14/B5 input flange, hollow output)</t>
        </is>
      </c>
      <c r="L14" s="9">
        <f>ROUND(129*(1-$O$3),2)</f>
        <v/>
      </c>
      <c r="M14" s="10">
        <f>J14*L14</f>
        <v/>
      </c>
      <c r="N14" s="11" t="n"/>
      <c r="O14" s="12" t="inlineStr">
        <is>
          <t>Factory-filled oil; quote output flange, torque arm and shafts separately | Direct NMRV equivalent, i=10, hollow Ø25 | Options (list → net): Output flange €8.00 → €5.20; Torque arm €11.00 → €7.15; Output shaft €9.00 → €5.85</t>
        </is>
      </c>
    </row>
    <row r="15">
      <c r="A15" s="13" t="inlineStr">
        <is>
          <t>GB-010</t>
        </is>
      </c>
      <c r="B15" s="13" t="inlineStr">
        <is>
          <t>Worm Gearbox</t>
        </is>
      </c>
      <c r="C15" s="13" t="inlineStr">
        <is>
          <t>NMRV</t>
        </is>
      </c>
      <c r="D15" s="13" t="inlineStr">
        <is>
          <t>050</t>
        </is>
      </c>
      <c r="E15" s="13" t="n"/>
      <c r="F15" s="13" t="inlineStr">
        <is>
          <t>1:15</t>
        </is>
      </c>
      <c r="G15" s="13" t="inlineStr">
        <is>
          <t>Universal</t>
        </is>
      </c>
      <c r="H15" s="13" t="inlineStr">
        <is>
          <t>Hollow shaft, keyed</t>
        </is>
      </c>
      <c r="I15" s="13" t="inlineStr">
        <is>
          <t>IEC motor adaptor/input</t>
        </is>
      </c>
      <c r="J15" s="13" t="n">
        <v>5</v>
      </c>
      <c r="K15" s="8" t="inlineStr">
        <is>
          <t>SP 50 i=15 (IEC B14/B5 input flange, hollow output)</t>
        </is>
      </c>
      <c r="L15" s="9">
        <f>ROUND(129*(1-$O$3),2)</f>
        <v/>
      </c>
      <c r="M15" s="10">
        <f>J15*L15</f>
        <v/>
      </c>
      <c r="N15" s="11" t="n"/>
      <c r="O15" s="12" t="inlineStr">
        <is>
          <t>Factory-filled oil; quote output flange, torque arm and shafts separately | Direct NMRV equivalent, i=15, hollow Ø25 | Options (list → net): Output flange €8.00 → €5.20; Torque arm €11.00 → €7.15; Output shaft €9.00 → €5.85</t>
        </is>
      </c>
    </row>
    <row r="16">
      <c r="A16" s="7" t="inlineStr">
        <is>
          <t>GB-011</t>
        </is>
      </c>
      <c r="B16" s="7" t="inlineStr">
        <is>
          <t>Worm Gearbox</t>
        </is>
      </c>
      <c r="C16" s="7" t="inlineStr">
        <is>
          <t>NMRV</t>
        </is>
      </c>
      <c r="D16" s="7" t="inlineStr">
        <is>
          <t>050</t>
        </is>
      </c>
      <c r="E16" s="7" t="n"/>
      <c r="F16" s="7" t="inlineStr">
        <is>
          <t>1:20</t>
        </is>
      </c>
      <c r="G16" s="7" t="inlineStr">
        <is>
          <t>Universal</t>
        </is>
      </c>
      <c r="H16" s="7" t="inlineStr">
        <is>
          <t>Hollow shaft, keyed</t>
        </is>
      </c>
      <c r="I16" s="7" t="inlineStr">
        <is>
          <t>IEC motor adaptor/input</t>
        </is>
      </c>
      <c r="J16" s="7" t="n">
        <v>6</v>
      </c>
      <c r="K16" s="8" t="inlineStr">
        <is>
          <t>SP 50 i=20 (IEC B14/B5 input flange, hollow output)</t>
        </is>
      </c>
      <c r="L16" s="9">
        <f>ROUND(129*(1-$O$3),2)</f>
        <v/>
      </c>
      <c r="M16" s="10">
        <f>J16*L16</f>
        <v/>
      </c>
      <c r="N16" s="11" t="n"/>
      <c r="O16" s="12" t="inlineStr">
        <is>
          <t>Factory-filled oil; quote output flange, torque arm and shafts separately | Direct NMRV equivalent, i=20, hollow Ø25 | Options (list → net): Output flange €8.00 → €5.20; Torque arm €11.00 → €7.15; Output shaft €9.00 → €5.85</t>
        </is>
      </c>
    </row>
    <row r="17">
      <c r="A17" s="13" t="inlineStr">
        <is>
          <t>GB-012</t>
        </is>
      </c>
      <c r="B17" s="13" t="inlineStr">
        <is>
          <t>Worm Gearbox</t>
        </is>
      </c>
      <c r="C17" s="13" t="inlineStr">
        <is>
          <t>NMRV</t>
        </is>
      </c>
      <c r="D17" s="13" t="inlineStr">
        <is>
          <t>050</t>
        </is>
      </c>
      <c r="E17" s="13" t="n"/>
      <c r="F17" s="13" t="inlineStr">
        <is>
          <t>1:25</t>
        </is>
      </c>
      <c r="G17" s="13" t="inlineStr">
        <is>
          <t>Universal</t>
        </is>
      </c>
      <c r="H17" s="13" t="inlineStr">
        <is>
          <t>Hollow shaft, keyed</t>
        </is>
      </c>
      <c r="I17" s="13" t="inlineStr">
        <is>
          <t>IEC motor adaptor/input</t>
        </is>
      </c>
      <c r="J17" s="13" t="n">
        <v>4</v>
      </c>
      <c r="K17" s="8" t="inlineStr">
        <is>
          <t>SP 50 i=25 (IEC B14/B5 input flange, hollow output)</t>
        </is>
      </c>
      <c r="L17" s="9">
        <f>ROUND(129*(1-$O$3),2)</f>
        <v/>
      </c>
      <c r="M17" s="10">
        <f>J17*L17</f>
        <v/>
      </c>
      <c r="N17" s="11" t="n"/>
      <c r="O17" s="12" t="inlineStr">
        <is>
          <t>Factory-filled oil; quote output flange, torque arm and shafts separately | Direct NMRV equivalent, i=25, hollow Ø25 | Options (list → net): Output flange €8.00 → €5.20; Torque arm €11.00 → €7.15; Output shaft €9.00 → €5.85</t>
        </is>
      </c>
    </row>
    <row r="18">
      <c r="A18" s="7" t="inlineStr">
        <is>
          <t>GB-013</t>
        </is>
      </c>
      <c r="B18" s="7" t="inlineStr">
        <is>
          <t>Worm Gearbox</t>
        </is>
      </c>
      <c r="C18" s="7" t="inlineStr">
        <is>
          <t>NMRV</t>
        </is>
      </c>
      <c r="D18" s="7" t="inlineStr">
        <is>
          <t>050</t>
        </is>
      </c>
      <c r="E18" s="7" t="n"/>
      <c r="F18" s="7" t="inlineStr">
        <is>
          <t>1:30</t>
        </is>
      </c>
      <c r="G18" s="7" t="inlineStr">
        <is>
          <t>Universal</t>
        </is>
      </c>
      <c r="H18" s="7" t="inlineStr">
        <is>
          <t>Hollow shaft, keyed</t>
        </is>
      </c>
      <c r="I18" s="7" t="inlineStr">
        <is>
          <t>IEC motor adaptor/input</t>
        </is>
      </c>
      <c r="J18" s="7" t="n">
        <v>5</v>
      </c>
      <c r="K18" s="8" t="inlineStr">
        <is>
          <t>SP 50 i=30 (IEC B14/B5 input flange, hollow output)</t>
        </is>
      </c>
      <c r="L18" s="9">
        <f>ROUND(129*(1-$O$3),2)</f>
        <v/>
      </c>
      <c r="M18" s="10">
        <f>J18*L18</f>
        <v/>
      </c>
      <c r="N18" s="11" t="n"/>
      <c r="O18" s="12" t="inlineStr">
        <is>
          <t>Factory-filled oil; quote output flange, torque arm and shafts separately | Direct NMRV equivalent, i=30, hollow Ø25 | Options (list → net): Output flange €8.00 → €5.20; Torque arm €11.00 → €7.15; Output shaft €9.00 → €5.85</t>
        </is>
      </c>
    </row>
    <row r="19">
      <c r="A19" s="13" t="inlineStr">
        <is>
          <t>GB-014</t>
        </is>
      </c>
      <c r="B19" s="13" t="inlineStr">
        <is>
          <t>Worm Gearbox</t>
        </is>
      </c>
      <c r="C19" s="13" t="inlineStr">
        <is>
          <t>NMRV</t>
        </is>
      </c>
      <c r="D19" s="13" t="inlineStr">
        <is>
          <t>050</t>
        </is>
      </c>
      <c r="E19" s="13" t="n"/>
      <c r="F19" s="13" t="inlineStr">
        <is>
          <t>1:40</t>
        </is>
      </c>
      <c r="G19" s="13" t="inlineStr">
        <is>
          <t>Universal</t>
        </is>
      </c>
      <c r="H19" s="13" t="inlineStr">
        <is>
          <t>Hollow shaft, keyed</t>
        </is>
      </c>
      <c r="I19" s="13" t="inlineStr">
        <is>
          <t>IEC motor adaptor/input</t>
        </is>
      </c>
      <c r="J19" s="13" t="n">
        <v>4</v>
      </c>
      <c r="K19" s="8" t="inlineStr">
        <is>
          <t>SP 50 i=40 (IEC B14/B5 input flange, hollow output)</t>
        </is>
      </c>
      <c r="L19" s="9">
        <f>ROUND(129*(1-$O$3),2)</f>
        <v/>
      </c>
      <c r="M19" s="10">
        <f>J19*L19</f>
        <v/>
      </c>
      <c r="N19" s="11" t="n"/>
      <c r="O19" s="12" t="inlineStr">
        <is>
          <t>Factory-filled oil; quote output flange, torque arm and shafts separately | Direct NMRV equivalent, i=40, hollow Ø25 | Options (list → net): Output flange €8.00 → €5.20; Torque arm €11.00 → €7.15; Output shaft €9.00 → €5.85</t>
        </is>
      </c>
    </row>
    <row r="20">
      <c r="A20" s="7" t="inlineStr">
        <is>
          <t>GB-015</t>
        </is>
      </c>
      <c r="B20" s="7" t="inlineStr">
        <is>
          <t>Worm Gearbox</t>
        </is>
      </c>
      <c r="C20" s="7" t="inlineStr">
        <is>
          <t>NMRV</t>
        </is>
      </c>
      <c r="D20" s="7" t="inlineStr">
        <is>
          <t>050</t>
        </is>
      </c>
      <c r="E20" s="7" t="n"/>
      <c r="F20" s="7" t="inlineStr">
        <is>
          <t>1:50</t>
        </is>
      </c>
      <c r="G20" s="7" t="inlineStr">
        <is>
          <t>Universal</t>
        </is>
      </c>
      <c r="H20" s="7" t="inlineStr">
        <is>
          <t>Hollow shaft, keyed</t>
        </is>
      </c>
      <c r="I20" s="7" t="inlineStr">
        <is>
          <t>IEC motor adaptor/input</t>
        </is>
      </c>
      <c r="J20" s="7" t="n">
        <v>4</v>
      </c>
      <c r="K20" s="8" t="inlineStr">
        <is>
          <t>SP 50 i=50 (IEC B14/B5 input flange, hollow output)</t>
        </is>
      </c>
      <c r="L20" s="9">
        <f>ROUND(129*(1-$O$3),2)</f>
        <v/>
      </c>
      <c r="M20" s="10">
        <f>J20*L20</f>
        <v/>
      </c>
      <c r="N20" s="11" t="n"/>
      <c r="O20" s="12" t="inlineStr">
        <is>
          <t>Factory-filled oil; quote output flange, torque arm and shafts separately | Direct NMRV equivalent, i=50, hollow Ø25 | Options (list → net): Output flange €8.00 → €5.20; Torque arm €11.00 → €7.15; Output shaft €9.00 → €5.85</t>
        </is>
      </c>
    </row>
    <row r="21">
      <c r="A21" s="13" t="inlineStr">
        <is>
          <t>GB-016</t>
        </is>
      </c>
      <c r="B21" s="13" t="inlineStr">
        <is>
          <t>Worm Gearbox</t>
        </is>
      </c>
      <c r="C21" s="13" t="inlineStr">
        <is>
          <t>NMRV</t>
        </is>
      </c>
      <c r="D21" s="13" t="inlineStr">
        <is>
          <t>050</t>
        </is>
      </c>
      <c r="E21" s="13" t="n"/>
      <c r="F21" s="13" t="inlineStr">
        <is>
          <t>1:60</t>
        </is>
      </c>
      <c r="G21" s="13" t="inlineStr">
        <is>
          <t>Universal</t>
        </is>
      </c>
      <c r="H21" s="13" t="inlineStr">
        <is>
          <t>Hollow shaft, keyed</t>
        </is>
      </c>
      <c r="I21" s="13" t="inlineStr">
        <is>
          <t>IEC motor adaptor/input</t>
        </is>
      </c>
      <c r="J21" s="13" t="n">
        <v>2</v>
      </c>
      <c r="K21" s="8" t="inlineStr">
        <is>
          <t>SP 50 i=60 (IEC B14/B5 input flange, hollow output)</t>
        </is>
      </c>
      <c r="L21" s="9">
        <f>ROUND(129*(1-$O$3),2)</f>
        <v/>
      </c>
      <c r="M21" s="10">
        <f>J21*L21</f>
        <v/>
      </c>
      <c r="N21" s="11" t="n"/>
      <c r="O21" s="12" t="inlineStr">
        <is>
          <t>Factory-filled oil; quote output flange, torque arm and shafts separately | Direct NMRV equivalent, i=60, hollow Ø25 | Options (list → net): Output flange €8.00 → €5.20; Torque arm €11.00 → €7.15; Output shaft €9.00 → €5.85</t>
        </is>
      </c>
    </row>
    <row r="22">
      <c r="A22" s="7" t="inlineStr">
        <is>
          <t>GB-017</t>
        </is>
      </c>
      <c r="B22" s="7" t="inlineStr">
        <is>
          <t>Worm Gearbox</t>
        </is>
      </c>
      <c r="C22" s="7" t="inlineStr">
        <is>
          <t>NMRV</t>
        </is>
      </c>
      <c r="D22" s="7" t="inlineStr">
        <is>
          <t>063</t>
        </is>
      </c>
      <c r="E22" s="7" t="n"/>
      <c r="F22" s="7" t="inlineStr">
        <is>
          <t>1:10</t>
        </is>
      </c>
      <c r="G22" s="7" t="inlineStr">
        <is>
          <t>Universal</t>
        </is>
      </c>
      <c r="H22" s="7" t="inlineStr">
        <is>
          <t>Hollow shaft, keyed</t>
        </is>
      </c>
      <c r="I22" s="7" t="inlineStr">
        <is>
          <t>IEC motor adaptor/input</t>
        </is>
      </c>
      <c r="J22" s="7" t="n">
        <v>5</v>
      </c>
      <c r="K22" s="8" t="inlineStr">
        <is>
          <t>SP 63 i=10 (IEC B14/B5 input flange, hollow output)</t>
        </is>
      </c>
      <c r="L22" s="9">
        <f>ROUND(175*(1-$O$3),2)</f>
        <v/>
      </c>
      <c r="M22" s="10">
        <f>J22*L22</f>
        <v/>
      </c>
      <c r="N22" s="11" t="n"/>
      <c r="O22" s="12" t="inlineStr">
        <is>
          <t>Factory-filled oil; quote output flange, torque arm and shafts separately | Direct NMRV equivalent, i=10, hollow Ø25 | Options (list → net): Output flange €10.00 → €6.50; Torque arm €15.00 → €9.75; Output shaft €11.00 → €7.15</t>
        </is>
      </c>
    </row>
    <row r="23">
      <c r="A23" s="13" t="inlineStr">
        <is>
          <t>GB-018</t>
        </is>
      </c>
      <c r="B23" s="13" t="inlineStr">
        <is>
          <t>Worm Gearbox</t>
        </is>
      </c>
      <c r="C23" s="13" t="inlineStr">
        <is>
          <t>NMRV</t>
        </is>
      </c>
      <c r="D23" s="13" t="inlineStr">
        <is>
          <t>063</t>
        </is>
      </c>
      <c r="E23" s="13" t="n"/>
      <c r="F23" s="13" t="inlineStr">
        <is>
          <t>1:15</t>
        </is>
      </c>
      <c r="G23" s="13" t="inlineStr">
        <is>
          <t>Universal</t>
        </is>
      </c>
      <c r="H23" s="13" t="inlineStr">
        <is>
          <t>Hollow shaft, keyed</t>
        </is>
      </c>
      <c r="I23" s="13" t="inlineStr">
        <is>
          <t>IEC motor adaptor/input</t>
        </is>
      </c>
      <c r="J23" s="13" t="n">
        <v>4</v>
      </c>
      <c r="K23" s="8" t="inlineStr">
        <is>
          <t>SP 63 i=15 (IEC B14/B5 input flange, hollow output)</t>
        </is>
      </c>
      <c r="L23" s="9">
        <f>ROUND(175*(1-$O$3),2)</f>
        <v/>
      </c>
      <c r="M23" s="10">
        <f>J23*L23</f>
        <v/>
      </c>
      <c r="N23" s="11" t="n"/>
      <c r="O23" s="12" t="inlineStr">
        <is>
          <t>Factory-filled oil; quote output flange, torque arm and shafts separately | Direct NMRV equivalent, i=15, hollow Ø25 | Options (list → net): Output flange €10.00 → €6.50; Torque arm €15.00 → €9.75; Output shaft €11.00 → €7.15</t>
        </is>
      </c>
    </row>
    <row r="24">
      <c r="A24" s="7" t="inlineStr">
        <is>
          <t>GB-019</t>
        </is>
      </c>
      <c r="B24" s="7" t="inlineStr">
        <is>
          <t>Worm Gearbox</t>
        </is>
      </c>
      <c r="C24" s="7" t="inlineStr">
        <is>
          <t>NMRV</t>
        </is>
      </c>
      <c r="D24" s="7" t="inlineStr">
        <is>
          <t>063</t>
        </is>
      </c>
      <c r="E24" s="7" t="n"/>
      <c r="F24" s="7" t="inlineStr">
        <is>
          <t>1:20</t>
        </is>
      </c>
      <c r="G24" s="7" t="inlineStr">
        <is>
          <t>Universal</t>
        </is>
      </c>
      <c r="H24" s="7" t="inlineStr">
        <is>
          <t>Hollow shaft, keyed</t>
        </is>
      </c>
      <c r="I24" s="7" t="inlineStr">
        <is>
          <t>IEC motor adaptor/input</t>
        </is>
      </c>
      <c r="J24" s="7" t="n">
        <v>5</v>
      </c>
      <c r="K24" s="8" t="inlineStr">
        <is>
          <t>SP 63 i=20 (IEC B14/B5 input flange, hollow output)</t>
        </is>
      </c>
      <c r="L24" s="9">
        <f>ROUND(175*(1-$O$3),2)</f>
        <v/>
      </c>
      <c r="M24" s="10">
        <f>J24*L24</f>
        <v/>
      </c>
      <c r="N24" s="11" t="n"/>
      <c r="O24" s="12" t="inlineStr">
        <is>
          <t>Factory-filled oil; quote output flange, torque arm and shafts separately | Direct NMRV equivalent, i=20, hollow Ø25 | Options (list → net): Output flange €10.00 → €6.50; Torque arm €15.00 → €9.75; Output shaft €11.00 → €7.15</t>
        </is>
      </c>
    </row>
    <row r="25">
      <c r="A25" s="13" t="inlineStr">
        <is>
          <t>GB-020</t>
        </is>
      </c>
      <c r="B25" s="13" t="inlineStr">
        <is>
          <t>Worm Gearbox</t>
        </is>
      </c>
      <c r="C25" s="13" t="inlineStr">
        <is>
          <t>NMRV</t>
        </is>
      </c>
      <c r="D25" s="13" t="inlineStr">
        <is>
          <t>063</t>
        </is>
      </c>
      <c r="E25" s="13" t="n"/>
      <c r="F25" s="13" t="inlineStr">
        <is>
          <t>1:25</t>
        </is>
      </c>
      <c r="G25" s="13" t="inlineStr">
        <is>
          <t>Universal</t>
        </is>
      </c>
      <c r="H25" s="13" t="inlineStr">
        <is>
          <t>Hollow shaft, keyed</t>
        </is>
      </c>
      <c r="I25" s="13" t="inlineStr">
        <is>
          <t>IEC motor adaptor/input</t>
        </is>
      </c>
      <c r="J25" s="13" t="n">
        <v>3</v>
      </c>
      <c r="K25" s="8" t="inlineStr">
        <is>
          <t>SP 63 i=25 (IEC B14/B5 input flange, hollow output)</t>
        </is>
      </c>
      <c r="L25" s="9">
        <f>ROUND(175*(1-$O$3),2)</f>
        <v/>
      </c>
      <c r="M25" s="10">
        <f>J25*L25</f>
        <v/>
      </c>
      <c r="N25" s="11" t="n"/>
      <c r="O25" s="12" t="inlineStr">
        <is>
          <t>Factory-filled oil; quote output flange, torque arm and shafts separately | Direct NMRV equivalent, i=25, hollow Ø25 | Options (list → net): Output flange €10.00 → €6.50; Torque arm €15.00 → €9.75; Output shaft €11.00 → €7.15</t>
        </is>
      </c>
    </row>
    <row r="26">
      <c r="A26" s="7" t="inlineStr">
        <is>
          <t>GB-021</t>
        </is>
      </c>
      <c r="B26" s="7" t="inlineStr">
        <is>
          <t>Worm Gearbox</t>
        </is>
      </c>
      <c r="C26" s="7" t="inlineStr">
        <is>
          <t>NMRV</t>
        </is>
      </c>
      <c r="D26" s="7" t="inlineStr">
        <is>
          <t>063</t>
        </is>
      </c>
      <c r="E26" s="7" t="n"/>
      <c r="F26" s="7" t="inlineStr">
        <is>
          <t>1:30</t>
        </is>
      </c>
      <c r="G26" s="7" t="inlineStr">
        <is>
          <t>Universal</t>
        </is>
      </c>
      <c r="H26" s="7" t="inlineStr">
        <is>
          <t>Hollow shaft, keyed</t>
        </is>
      </c>
      <c r="I26" s="7" t="inlineStr">
        <is>
          <t>IEC motor adaptor/input</t>
        </is>
      </c>
      <c r="J26" s="7" t="n">
        <v>4</v>
      </c>
      <c r="K26" s="8" t="inlineStr">
        <is>
          <t>SP 63 i=30 (IEC B14/B5 input flange, hollow output)</t>
        </is>
      </c>
      <c r="L26" s="9">
        <f>ROUND(175*(1-$O$3),2)</f>
        <v/>
      </c>
      <c r="M26" s="10">
        <f>J26*L26</f>
        <v/>
      </c>
      <c r="N26" s="11" t="n"/>
      <c r="O26" s="12" t="inlineStr">
        <is>
          <t>Factory-filled oil; quote output flange, torque arm and shafts separately | Direct NMRV equivalent, i=30, hollow Ø25 | Options (list → net): Output flange €10.00 → €6.50; Torque arm €15.00 → €9.75; Output shaft €11.00 → €7.15</t>
        </is>
      </c>
    </row>
    <row r="27">
      <c r="A27" s="13" t="inlineStr">
        <is>
          <t>GB-022</t>
        </is>
      </c>
      <c r="B27" s="13" t="inlineStr">
        <is>
          <t>Worm Gearbox</t>
        </is>
      </c>
      <c r="C27" s="13" t="inlineStr">
        <is>
          <t>NMRV</t>
        </is>
      </c>
      <c r="D27" s="13" t="inlineStr">
        <is>
          <t>063</t>
        </is>
      </c>
      <c r="E27" s="13" t="n"/>
      <c r="F27" s="13" t="inlineStr">
        <is>
          <t>1:40</t>
        </is>
      </c>
      <c r="G27" s="13" t="inlineStr">
        <is>
          <t>Universal</t>
        </is>
      </c>
      <c r="H27" s="13" t="inlineStr">
        <is>
          <t>Hollow shaft, keyed</t>
        </is>
      </c>
      <c r="I27" s="13" t="inlineStr">
        <is>
          <t>IEC motor adaptor/input</t>
        </is>
      </c>
      <c r="J27" s="13" t="n">
        <v>4</v>
      </c>
      <c r="K27" s="8" t="inlineStr">
        <is>
          <t>SP 63 i=40 (IEC B14/B5 input flange, hollow output)</t>
        </is>
      </c>
      <c r="L27" s="9">
        <f>ROUND(175*(1-$O$3),2)</f>
        <v/>
      </c>
      <c r="M27" s="10">
        <f>J27*L27</f>
        <v/>
      </c>
      <c r="N27" s="11" t="n"/>
      <c r="O27" s="12" t="inlineStr">
        <is>
          <t>Factory-filled oil; quote output flange, torque arm and shafts separately | Direct NMRV equivalent, i=40, hollow Ø25 | Options (list → net): Output flange €10.00 → €6.50; Torque arm €15.00 → €9.75; Output shaft €11.00 → €7.15</t>
        </is>
      </c>
    </row>
    <row r="28">
      <c r="A28" s="7" t="inlineStr">
        <is>
          <t>GB-023</t>
        </is>
      </c>
      <c r="B28" s="7" t="inlineStr">
        <is>
          <t>Worm Gearbox</t>
        </is>
      </c>
      <c r="C28" s="7" t="inlineStr">
        <is>
          <t>NMRV</t>
        </is>
      </c>
      <c r="D28" s="7" t="inlineStr">
        <is>
          <t>063</t>
        </is>
      </c>
      <c r="E28" s="7" t="n"/>
      <c r="F28" s="7" t="inlineStr">
        <is>
          <t>1:50</t>
        </is>
      </c>
      <c r="G28" s="7" t="inlineStr">
        <is>
          <t>Universal</t>
        </is>
      </c>
      <c r="H28" s="7" t="inlineStr">
        <is>
          <t>Hollow shaft, keyed</t>
        </is>
      </c>
      <c r="I28" s="7" t="inlineStr">
        <is>
          <t>IEC motor adaptor/input</t>
        </is>
      </c>
      <c r="J28" s="7" t="n">
        <v>3</v>
      </c>
      <c r="K28" s="8" t="inlineStr">
        <is>
          <t>SP 63 i=50 (IEC B14/B5 input flange, hollow output)</t>
        </is>
      </c>
      <c r="L28" s="9">
        <f>ROUND(175*(1-$O$3),2)</f>
        <v/>
      </c>
      <c r="M28" s="10">
        <f>J28*L28</f>
        <v/>
      </c>
      <c r="N28" s="11" t="n"/>
      <c r="O28" s="12" t="inlineStr">
        <is>
          <t>Factory-filled oil; quote output flange, torque arm and shafts separately | Direct NMRV equivalent, i=50, hollow Ø25 | Options (list → net): Output flange €10.00 → €6.50; Torque arm €15.00 → €9.75; Output shaft €11.00 → €7.15</t>
        </is>
      </c>
    </row>
    <row r="29">
      <c r="A29" s="13" t="inlineStr">
        <is>
          <t>GB-024</t>
        </is>
      </c>
      <c r="B29" s="13" t="inlineStr">
        <is>
          <t>Worm Gearbox</t>
        </is>
      </c>
      <c r="C29" s="13" t="inlineStr">
        <is>
          <t>NMRV</t>
        </is>
      </c>
      <c r="D29" s="13" t="inlineStr">
        <is>
          <t>063</t>
        </is>
      </c>
      <c r="E29" s="13" t="n"/>
      <c r="F29" s="13" t="inlineStr">
        <is>
          <t>1:60</t>
        </is>
      </c>
      <c r="G29" s="13" t="inlineStr">
        <is>
          <t>Universal</t>
        </is>
      </c>
      <c r="H29" s="13" t="inlineStr">
        <is>
          <t>Hollow shaft, keyed</t>
        </is>
      </c>
      <c r="I29" s="13" t="inlineStr">
        <is>
          <t>IEC motor adaptor/input</t>
        </is>
      </c>
      <c r="J29" s="13" t="n">
        <v>2</v>
      </c>
      <c r="K29" s="8" t="inlineStr">
        <is>
          <t>SP 63 i=60 (IEC B14/B5 input flange, hollow output)</t>
        </is>
      </c>
      <c r="L29" s="9">
        <f>ROUND(175*(1-$O$3),2)</f>
        <v/>
      </c>
      <c r="M29" s="10">
        <f>J29*L29</f>
        <v/>
      </c>
      <c r="N29" s="11" t="n"/>
      <c r="O29" s="12" t="inlineStr">
        <is>
          <t>Factory-filled oil; quote output flange, torque arm and shafts separately | Direct NMRV equivalent, i=60, hollow Ø25 | Options (list → net): Output flange €10.00 → €6.50; Torque arm €15.00 → €9.75; Output shaft €11.00 → €7.15</t>
        </is>
      </c>
    </row>
    <row r="30">
      <c r="A30" s="7" t="inlineStr">
        <is>
          <t>GB-025</t>
        </is>
      </c>
      <c r="B30" s="7" t="inlineStr">
        <is>
          <t>Worm Gearbox</t>
        </is>
      </c>
      <c r="C30" s="7" t="inlineStr">
        <is>
          <t>NMRV</t>
        </is>
      </c>
      <c r="D30" s="7" t="inlineStr">
        <is>
          <t>075</t>
        </is>
      </c>
      <c r="E30" s="7" t="n"/>
      <c r="F30" s="7" t="inlineStr">
        <is>
          <t>1:10</t>
        </is>
      </c>
      <c r="G30" s="7" t="inlineStr">
        <is>
          <t>Universal</t>
        </is>
      </c>
      <c r="H30" s="7" t="inlineStr">
        <is>
          <t>Hollow shaft, keyed</t>
        </is>
      </c>
      <c r="I30" s="7" t="inlineStr">
        <is>
          <t>IEC motor adaptor/input</t>
        </is>
      </c>
      <c r="J30" s="7" t="n">
        <v>4</v>
      </c>
      <c r="K30" s="8" t="inlineStr">
        <is>
          <t>SP 75 i=10 (IEC B14/B5 input flange, hollow output)</t>
        </is>
      </c>
      <c r="L30" s="9">
        <f>ROUND(222*(1-$O$3),2)</f>
        <v/>
      </c>
      <c r="M30" s="10">
        <f>J30*L30</f>
        <v/>
      </c>
      <c r="N30" s="11" t="n"/>
      <c r="O30" s="12" t="inlineStr">
        <is>
          <t>Factory-filled oil; quote output flange, torque arm and shafts separately | Direct NMRV equivalent, i=10, hollow Ø28 | Options (list → net): Output flange €15.00 → €9.75; Torque arm €25.00 → €16.25; Output shaft €15.00 → €9.75</t>
        </is>
      </c>
    </row>
    <row r="31">
      <c r="A31" s="13" t="inlineStr">
        <is>
          <t>GB-026</t>
        </is>
      </c>
      <c r="B31" s="13" t="inlineStr">
        <is>
          <t>Worm Gearbox</t>
        </is>
      </c>
      <c r="C31" s="13" t="inlineStr">
        <is>
          <t>NMRV</t>
        </is>
      </c>
      <c r="D31" s="13" t="inlineStr">
        <is>
          <t>075</t>
        </is>
      </c>
      <c r="E31" s="13" t="n"/>
      <c r="F31" s="13" t="inlineStr">
        <is>
          <t>1:15</t>
        </is>
      </c>
      <c r="G31" s="13" t="inlineStr">
        <is>
          <t>Universal</t>
        </is>
      </c>
      <c r="H31" s="13" t="inlineStr">
        <is>
          <t>Hollow shaft, keyed</t>
        </is>
      </c>
      <c r="I31" s="13" t="inlineStr">
        <is>
          <t>IEC motor adaptor/input</t>
        </is>
      </c>
      <c r="J31" s="13" t="n">
        <v>3</v>
      </c>
      <c r="K31" s="8" t="inlineStr">
        <is>
          <t>SP 75 i=15 (IEC B14/B5 input flange, hollow output)</t>
        </is>
      </c>
      <c r="L31" s="9">
        <f>ROUND(222*(1-$O$3),2)</f>
        <v/>
      </c>
      <c r="M31" s="10">
        <f>J31*L31</f>
        <v/>
      </c>
      <c r="N31" s="11" t="n"/>
      <c r="O31" s="12" t="inlineStr">
        <is>
          <t>Factory-filled oil; quote output flange, torque arm and shafts separately | Direct NMRV equivalent, i=15, hollow Ø28 | Options (list → net): Output flange €15.00 → €9.75; Torque arm €25.00 → €16.25; Output shaft €15.00 → €9.75</t>
        </is>
      </c>
    </row>
    <row r="32">
      <c r="A32" s="7" t="inlineStr">
        <is>
          <t>GB-027</t>
        </is>
      </c>
      <c r="B32" s="7" t="inlineStr">
        <is>
          <t>Worm Gearbox</t>
        </is>
      </c>
      <c r="C32" s="7" t="inlineStr">
        <is>
          <t>NMRV</t>
        </is>
      </c>
      <c r="D32" s="7" t="inlineStr">
        <is>
          <t>075</t>
        </is>
      </c>
      <c r="E32" s="7" t="n"/>
      <c r="F32" s="7" t="inlineStr">
        <is>
          <t>1:20</t>
        </is>
      </c>
      <c r="G32" s="7" t="inlineStr">
        <is>
          <t>Universal</t>
        </is>
      </c>
      <c r="H32" s="7" t="inlineStr">
        <is>
          <t>Hollow shaft, keyed</t>
        </is>
      </c>
      <c r="I32" s="7" t="inlineStr">
        <is>
          <t>IEC motor adaptor/input</t>
        </is>
      </c>
      <c r="J32" s="7" t="n">
        <v>4</v>
      </c>
      <c r="K32" s="8" t="inlineStr">
        <is>
          <t>SP 75 i=20 (IEC B14/B5 input flange, hollow output)</t>
        </is>
      </c>
      <c r="L32" s="9">
        <f>ROUND(222*(1-$O$3),2)</f>
        <v/>
      </c>
      <c r="M32" s="10">
        <f>J32*L32</f>
        <v/>
      </c>
      <c r="N32" s="11" t="n"/>
      <c r="O32" s="12" t="inlineStr">
        <is>
          <t>Factory-filled oil; quote output flange, torque arm and shafts separately | Direct NMRV equivalent, i=20, hollow Ø28 | Options (list → net): Output flange €15.00 → €9.75; Torque arm €25.00 → €16.25; Output shaft €15.00 → €9.75</t>
        </is>
      </c>
    </row>
    <row r="33">
      <c r="A33" s="13" t="inlineStr">
        <is>
          <t>GB-028</t>
        </is>
      </c>
      <c r="B33" s="13" t="inlineStr">
        <is>
          <t>Worm Gearbox</t>
        </is>
      </c>
      <c r="C33" s="13" t="inlineStr">
        <is>
          <t>NMRV</t>
        </is>
      </c>
      <c r="D33" s="13" t="inlineStr">
        <is>
          <t>075</t>
        </is>
      </c>
      <c r="E33" s="13" t="n"/>
      <c r="F33" s="13" t="inlineStr">
        <is>
          <t>1:25</t>
        </is>
      </c>
      <c r="G33" s="13" t="inlineStr">
        <is>
          <t>Universal</t>
        </is>
      </c>
      <c r="H33" s="13" t="inlineStr">
        <is>
          <t>Hollow shaft, keyed</t>
        </is>
      </c>
      <c r="I33" s="13" t="inlineStr">
        <is>
          <t>IEC motor adaptor/input</t>
        </is>
      </c>
      <c r="J33" s="13" t="n">
        <v>2</v>
      </c>
      <c r="K33" s="8" t="inlineStr">
        <is>
          <t>SP 75 i=25 (IEC B14/B5 input flange, hollow output)</t>
        </is>
      </c>
      <c r="L33" s="9">
        <f>ROUND(222*(1-$O$3),2)</f>
        <v/>
      </c>
      <c r="M33" s="10">
        <f>J33*L33</f>
        <v/>
      </c>
      <c r="N33" s="11" t="n"/>
      <c r="O33" s="12" t="inlineStr">
        <is>
          <t>Factory-filled oil; quote output flange, torque arm and shafts separately | Direct NMRV equivalent, i=25, hollow Ø28 | Options (list → net): Output flange €15.00 → €9.75; Torque arm €25.00 → €16.25; Output shaft €15.00 → €9.75</t>
        </is>
      </c>
    </row>
    <row r="34">
      <c r="A34" s="7" t="inlineStr">
        <is>
          <t>GB-029</t>
        </is>
      </c>
      <c r="B34" s="7" t="inlineStr">
        <is>
          <t>Worm Gearbox</t>
        </is>
      </c>
      <c r="C34" s="7" t="inlineStr">
        <is>
          <t>NMRV</t>
        </is>
      </c>
      <c r="D34" s="7" t="inlineStr">
        <is>
          <t>075</t>
        </is>
      </c>
      <c r="E34" s="7" t="n"/>
      <c r="F34" s="7" t="inlineStr">
        <is>
          <t>1:30</t>
        </is>
      </c>
      <c r="G34" s="7" t="inlineStr">
        <is>
          <t>Universal</t>
        </is>
      </c>
      <c r="H34" s="7" t="inlineStr">
        <is>
          <t>Hollow shaft, keyed</t>
        </is>
      </c>
      <c r="I34" s="7" t="inlineStr">
        <is>
          <t>IEC motor adaptor/input</t>
        </is>
      </c>
      <c r="J34" s="7" t="n">
        <v>4</v>
      </c>
      <c r="K34" s="8" t="inlineStr">
        <is>
          <t>SP 75 i=30 (IEC B14/B5 input flange, hollow output)</t>
        </is>
      </c>
      <c r="L34" s="9">
        <f>ROUND(222*(1-$O$3),2)</f>
        <v/>
      </c>
      <c r="M34" s="10">
        <f>J34*L34</f>
        <v/>
      </c>
      <c r="N34" s="11" t="n"/>
      <c r="O34" s="12" t="inlineStr">
        <is>
          <t>Factory-filled oil; quote output flange, torque arm and shafts separately | Direct NMRV equivalent, i=30, hollow Ø28 | Options (list → net): Output flange €15.00 → €9.75; Torque arm €25.00 → €16.25; Output shaft €15.00 → €9.75</t>
        </is>
      </c>
    </row>
    <row r="35">
      <c r="A35" s="13" t="inlineStr">
        <is>
          <t>GB-030</t>
        </is>
      </c>
      <c r="B35" s="13" t="inlineStr">
        <is>
          <t>Worm Gearbox</t>
        </is>
      </c>
      <c r="C35" s="13" t="inlineStr">
        <is>
          <t>NMRV</t>
        </is>
      </c>
      <c r="D35" s="13" t="inlineStr">
        <is>
          <t>075</t>
        </is>
      </c>
      <c r="E35" s="13" t="n"/>
      <c r="F35" s="13" t="inlineStr">
        <is>
          <t>1:40</t>
        </is>
      </c>
      <c r="G35" s="13" t="inlineStr">
        <is>
          <t>Universal</t>
        </is>
      </c>
      <c r="H35" s="13" t="inlineStr">
        <is>
          <t>Hollow shaft, keyed</t>
        </is>
      </c>
      <c r="I35" s="13" t="inlineStr">
        <is>
          <t>IEC motor adaptor/input</t>
        </is>
      </c>
      <c r="J35" s="13" t="n">
        <v>3</v>
      </c>
      <c r="K35" s="8" t="inlineStr">
        <is>
          <t>SP 75 i=40 (IEC B14/B5 input flange, hollow output)</t>
        </is>
      </c>
      <c r="L35" s="9">
        <f>ROUND(222*(1-$O$3),2)</f>
        <v/>
      </c>
      <c r="M35" s="10">
        <f>J35*L35</f>
        <v/>
      </c>
      <c r="N35" s="11" t="n"/>
      <c r="O35" s="12" t="inlineStr">
        <is>
          <t>Factory-filled oil; quote output flange, torque arm and shafts separately | Direct NMRV equivalent, i=40, hollow Ø28 | Options (list → net): Output flange €15.00 → €9.75; Torque arm €25.00 → €16.25; Output shaft €15.00 → €9.75</t>
        </is>
      </c>
    </row>
    <row r="36">
      <c r="A36" s="7" t="inlineStr">
        <is>
          <t>GB-031</t>
        </is>
      </c>
      <c r="B36" s="7" t="inlineStr">
        <is>
          <t>Worm Gearbox</t>
        </is>
      </c>
      <c r="C36" s="7" t="inlineStr">
        <is>
          <t>NMRV</t>
        </is>
      </c>
      <c r="D36" s="7" t="inlineStr">
        <is>
          <t>075</t>
        </is>
      </c>
      <c r="E36" s="7" t="n"/>
      <c r="F36" s="7" t="inlineStr">
        <is>
          <t>1:50</t>
        </is>
      </c>
      <c r="G36" s="7" t="inlineStr">
        <is>
          <t>Universal</t>
        </is>
      </c>
      <c r="H36" s="7" t="inlineStr">
        <is>
          <t>Hollow shaft, keyed</t>
        </is>
      </c>
      <c r="I36" s="7" t="inlineStr">
        <is>
          <t>IEC motor adaptor/input</t>
        </is>
      </c>
      <c r="J36" s="7" t="n">
        <v>3</v>
      </c>
      <c r="K36" s="8" t="inlineStr">
        <is>
          <t>SP 75 i=50 (IEC B14/B5 input flange, hollow output)</t>
        </is>
      </c>
      <c r="L36" s="9">
        <f>ROUND(222*(1-$O$3),2)</f>
        <v/>
      </c>
      <c r="M36" s="10">
        <f>J36*L36</f>
        <v/>
      </c>
      <c r="N36" s="11" t="n"/>
      <c r="O36" s="12" t="inlineStr">
        <is>
          <t>Factory-filled oil; quote output flange, torque arm and shafts separately | Direct NMRV equivalent, i=50, hollow Ø28 | Options (list → net): Output flange €15.00 → €9.75; Torque arm €25.00 → €16.25; Output shaft €15.00 → €9.75</t>
        </is>
      </c>
    </row>
    <row r="37">
      <c r="A37" s="13" t="inlineStr">
        <is>
          <t>GB-032</t>
        </is>
      </c>
      <c r="B37" s="13" t="inlineStr">
        <is>
          <t>Worm Gearbox</t>
        </is>
      </c>
      <c r="C37" s="13" t="inlineStr">
        <is>
          <t>NMRV</t>
        </is>
      </c>
      <c r="D37" s="13" t="inlineStr">
        <is>
          <t>075</t>
        </is>
      </c>
      <c r="E37" s="13" t="n"/>
      <c r="F37" s="13" t="inlineStr">
        <is>
          <t>1:60</t>
        </is>
      </c>
      <c r="G37" s="13" t="inlineStr">
        <is>
          <t>Universal</t>
        </is>
      </c>
      <c r="H37" s="13" t="inlineStr">
        <is>
          <t>Hollow shaft, keyed</t>
        </is>
      </c>
      <c r="I37" s="13" t="inlineStr">
        <is>
          <t>IEC motor adaptor/input</t>
        </is>
      </c>
      <c r="J37" s="13" t="n">
        <v>2</v>
      </c>
      <c r="K37" s="8" t="inlineStr">
        <is>
          <t>SP 75 i=60 (IEC B14/B5 input flange, hollow output)</t>
        </is>
      </c>
      <c r="L37" s="9">
        <f>ROUND(222*(1-$O$3),2)</f>
        <v/>
      </c>
      <c r="M37" s="10">
        <f>J37*L37</f>
        <v/>
      </c>
      <c r="N37" s="11" t="n"/>
      <c r="O37" s="12" t="inlineStr">
        <is>
          <t>Factory-filled oil; quote output flange, torque arm and shafts separately | Direct NMRV equivalent, i=60, hollow Ø28 | Options (list → net): Output flange €15.00 → €9.75; Torque arm €25.00 → €16.25; Output shaft €15.00 → €9.75</t>
        </is>
      </c>
    </row>
    <row r="38">
      <c r="A38" s="7" t="inlineStr">
        <is>
          <t>GB-033</t>
        </is>
      </c>
      <c r="B38" s="7" t="inlineStr">
        <is>
          <t>Worm Gearbox</t>
        </is>
      </c>
      <c r="C38" s="7" t="inlineStr">
        <is>
          <t>NMRV</t>
        </is>
      </c>
      <c r="D38" s="7" t="inlineStr">
        <is>
          <t>090</t>
        </is>
      </c>
      <c r="E38" s="7" t="n"/>
      <c r="F38" s="7" t="inlineStr">
        <is>
          <t>1:10</t>
        </is>
      </c>
      <c r="G38" s="7" t="inlineStr">
        <is>
          <t>Universal</t>
        </is>
      </c>
      <c r="H38" s="7" t="inlineStr">
        <is>
          <t>Hollow shaft, keyed</t>
        </is>
      </c>
      <c r="I38" s="7" t="inlineStr">
        <is>
          <t>IEC motor adaptor/input</t>
        </is>
      </c>
      <c r="J38" s="7" t="n">
        <v>3</v>
      </c>
      <c r="K38" s="8" t="inlineStr">
        <is>
          <t>SP 90 i=10 (IEC B14/B5 input flange, hollow output)</t>
        </is>
      </c>
      <c r="L38" s="9">
        <f>ROUND(309*(1-$O$3),2)</f>
        <v/>
      </c>
      <c r="M38" s="10">
        <f>J38*L38</f>
        <v/>
      </c>
      <c r="N38" s="11" t="n"/>
      <c r="O38" s="12" t="inlineStr">
        <is>
          <t>Factory-filled oil; quote output flange, torque arm and shafts separately | Direct NMRV equivalent, i=10, hollow Ø35 | Options (list → net): Output flange €23.00 → €14.95; Torque arm €40.00 → €26.00; Output shaft €24.00 → €15.60</t>
        </is>
      </c>
    </row>
    <row r="39">
      <c r="A39" s="13" t="inlineStr">
        <is>
          <t>GB-034</t>
        </is>
      </c>
      <c r="B39" s="13" t="inlineStr">
        <is>
          <t>Worm Gearbox</t>
        </is>
      </c>
      <c r="C39" s="13" t="inlineStr">
        <is>
          <t>NMRV</t>
        </is>
      </c>
      <c r="D39" s="13" t="inlineStr">
        <is>
          <t>090</t>
        </is>
      </c>
      <c r="E39" s="13" t="n"/>
      <c r="F39" s="13" t="inlineStr">
        <is>
          <t>1:15</t>
        </is>
      </c>
      <c r="G39" s="13" t="inlineStr">
        <is>
          <t>Universal</t>
        </is>
      </c>
      <c r="H39" s="13" t="inlineStr">
        <is>
          <t>Hollow shaft, keyed</t>
        </is>
      </c>
      <c r="I39" s="13" t="inlineStr">
        <is>
          <t>IEC motor adaptor/input</t>
        </is>
      </c>
      <c r="J39" s="13" t="n">
        <v>2</v>
      </c>
      <c r="K39" s="8" t="inlineStr">
        <is>
          <t>SP 90 i=15 (IEC B14/B5 input flange, hollow output)</t>
        </is>
      </c>
      <c r="L39" s="9">
        <f>ROUND(309*(1-$O$3),2)</f>
        <v/>
      </c>
      <c r="M39" s="10">
        <f>J39*L39</f>
        <v/>
      </c>
      <c r="N39" s="11" t="n"/>
      <c r="O39" s="12" t="inlineStr">
        <is>
          <t>Factory-filled oil; quote output flange, torque arm and shafts separately | Direct NMRV equivalent, i=15, hollow Ø35 | Options (list → net): Output flange €23.00 → €14.95; Torque arm €40.00 → €26.00; Output shaft €24.00 → €15.60</t>
        </is>
      </c>
    </row>
    <row r="40">
      <c r="A40" s="7" t="inlineStr">
        <is>
          <t>GB-035</t>
        </is>
      </c>
      <c r="B40" s="7" t="inlineStr">
        <is>
          <t>Worm Gearbox</t>
        </is>
      </c>
      <c r="C40" s="7" t="inlineStr">
        <is>
          <t>NMRV</t>
        </is>
      </c>
      <c r="D40" s="7" t="inlineStr">
        <is>
          <t>090</t>
        </is>
      </c>
      <c r="E40" s="7" t="n"/>
      <c r="F40" s="7" t="inlineStr">
        <is>
          <t>1:20</t>
        </is>
      </c>
      <c r="G40" s="7" t="inlineStr">
        <is>
          <t>Universal</t>
        </is>
      </c>
      <c r="H40" s="7" t="inlineStr">
        <is>
          <t>Hollow shaft, keyed</t>
        </is>
      </c>
      <c r="I40" s="7" t="inlineStr">
        <is>
          <t>IEC motor adaptor/input</t>
        </is>
      </c>
      <c r="J40" s="7" t="n">
        <v>3</v>
      </c>
      <c r="K40" s="8" t="inlineStr">
        <is>
          <t>SP 90 i=20 (IEC B14/B5 input flange, hollow output)</t>
        </is>
      </c>
      <c r="L40" s="9">
        <f>ROUND(309*(1-$O$3),2)</f>
        <v/>
      </c>
      <c r="M40" s="10">
        <f>J40*L40</f>
        <v/>
      </c>
      <c r="N40" s="11" t="n"/>
      <c r="O40" s="12" t="inlineStr">
        <is>
          <t>Factory-filled oil; quote output flange, torque arm and shafts separately | Direct NMRV equivalent, i=20, hollow Ø35 | Options (list → net): Output flange €23.00 → €14.95; Torque arm €40.00 → €26.00; Output shaft €24.00 → €15.60</t>
        </is>
      </c>
    </row>
    <row r="41">
      <c r="A41" s="13" t="inlineStr">
        <is>
          <t>GB-036</t>
        </is>
      </c>
      <c r="B41" s="13" t="inlineStr">
        <is>
          <t>Worm Gearbox</t>
        </is>
      </c>
      <c r="C41" s="13" t="inlineStr">
        <is>
          <t>NMRV</t>
        </is>
      </c>
      <c r="D41" s="13" t="inlineStr">
        <is>
          <t>090</t>
        </is>
      </c>
      <c r="E41" s="13" t="n"/>
      <c r="F41" s="13" t="inlineStr">
        <is>
          <t>1:25</t>
        </is>
      </c>
      <c r="G41" s="13" t="inlineStr">
        <is>
          <t>Universal</t>
        </is>
      </c>
      <c r="H41" s="13" t="inlineStr">
        <is>
          <t>Hollow shaft, keyed</t>
        </is>
      </c>
      <c r="I41" s="13" t="inlineStr">
        <is>
          <t>IEC motor adaptor/input</t>
        </is>
      </c>
      <c r="J41" s="13" t="n">
        <v>2</v>
      </c>
      <c r="K41" s="8" t="inlineStr">
        <is>
          <t>SP 90 i=25 (IEC B14/B5 input flange, hollow output)</t>
        </is>
      </c>
      <c r="L41" s="9">
        <f>ROUND(309*(1-$O$3),2)</f>
        <v/>
      </c>
      <c r="M41" s="10">
        <f>J41*L41</f>
        <v/>
      </c>
      <c r="N41" s="11" t="n"/>
      <c r="O41" s="12" t="inlineStr">
        <is>
          <t>Factory-filled oil; quote output flange, torque arm and shafts separately | Direct NMRV equivalent, i=25, hollow Ø35 | Options (list → net): Output flange €23.00 → €14.95; Torque arm €40.00 → €26.00; Output shaft €24.00 → €15.60</t>
        </is>
      </c>
    </row>
    <row r="42">
      <c r="A42" s="7" t="inlineStr">
        <is>
          <t>GB-037</t>
        </is>
      </c>
      <c r="B42" s="7" t="inlineStr">
        <is>
          <t>Worm Gearbox</t>
        </is>
      </c>
      <c r="C42" s="7" t="inlineStr">
        <is>
          <t>NMRV</t>
        </is>
      </c>
      <c r="D42" s="7" t="inlineStr">
        <is>
          <t>090</t>
        </is>
      </c>
      <c r="E42" s="7" t="n"/>
      <c r="F42" s="7" t="inlineStr">
        <is>
          <t>1:30</t>
        </is>
      </c>
      <c r="G42" s="7" t="inlineStr">
        <is>
          <t>Universal</t>
        </is>
      </c>
      <c r="H42" s="7" t="inlineStr">
        <is>
          <t>Hollow shaft, keyed</t>
        </is>
      </c>
      <c r="I42" s="7" t="inlineStr">
        <is>
          <t>IEC motor adaptor/input</t>
        </is>
      </c>
      <c r="J42" s="7" t="n">
        <v>3</v>
      </c>
      <c r="K42" s="8" t="inlineStr">
        <is>
          <t>SP 90 i=30 (IEC B14/B5 input flange, hollow output)</t>
        </is>
      </c>
      <c r="L42" s="9">
        <f>ROUND(309*(1-$O$3),2)</f>
        <v/>
      </c>
      <c r="M42" s="10">
        <f>J42*L42</f>
        <v/>
      </c>
      <c r="N42" s="11" t="n"/>
      <c r="O42" s="12" t="inlineStr">
        <is>
          <t>Factory-filled oil; quote output flange, torque arm and shafts separately | Direct NMRV equivalent, i=30, hollow Ø35 | Options (list → net): Output flange €23.00 → €14.95; Torque arm €40.00 → €26.00; Output shaft €24.00 → €15.60</t>
        </is>
      </c>
    </row>
    <row r="43">
      <c r="A43" s="13" t="inlineStr">
        <is>
          <t>GB-038</t>
        </is>
      </c>
      <c r="B43" s="13" t="inlineStr">
        <is>
          <t>Worm Gearbox</t>
        </is>
      </c>
      <c r="C43" s="13" t="inlineStr">
        <is>
          <t>NMRV</t>
        </is>
      </c>
      <c r="D43" s="13" t="inlineStr">
        <is>
          <t>090</t>
        </is>
      </c>
      <c r="E43" s="13" t="n"/>
      <c r="F43" s="13" t="inlineStr">
        <is>
          <t>1:40</t>
        </is>
      </c>
      <c r="G43" s="13" t="inlineStr">
        <is>
          <t>Universal</t>
        </is>
      </c>
      <c r="H43" s="13" t="inlineStr">
        <is>
          <t>Hollow shaft, keyed</t>
        </is>
      </c>
      <c r="I43" s="13" t="inlineStr">
        <is>
          <t>IEC motor adaptor/input</t>
        </is>
      </c>
      <c r="J43" s="13" t="n">
        <v>2</v>
      </c>
      <c r="K43" s="8" t="inlineStr">
        <is>
          <t>SP 90 i=40 (IEC B14/B5 input flange, hollow output)</t>
        </is>
      </c>
      <c r="L43" s="9">
        <f>ROUND(309*(1-$O$3),2)</f>
        <v/>
      </c>
      <c r="M43" s="10">
        <f>J43*L43</f>
        <v/>
      </c>
      <c r="N43" s="11" t="n"/>
      <c r="O43" s="12" t="inlineStr">
        <is>
          <t>Factory-filled oil; quote output flange, torque arm and shafts separately | Direct NMRV equivalent, i=40, hollow Ø35 | Options (list → net): Output flange €23.00 → €14.95; Torque arm €40.00 → €26.00; Output shaft €24.00 → €15.60</t>
        </is>
      </c>
    </row>
    <row r="44">
      <c r="A44" s="7" t="inlineStr">
        <is>
          <t>GB-039</t>
        </is>
      </c>
      <c r="B44" s="7" t="inlineStr">
        <is>
          <t>Worm Gearbox</t>
        </is>
      </c>
      <c r="C44" s="7" t="inlineStr">
        <is>
          <t>NMRV</t>
        </is>
      </c>
      <c r="D44" s="7" t="inlineStr">
        <is>
          <t>090</t>
        </is>
      </c>
      <c r="E44" s="7" t="n"/>
      <c r="F44" s="7" t="inlineStr">
        <is>
          <t>1:50</t>
        </is>
      </c>
      <c r="G44" s="7" t="inlineStr">
        <is>
          <t>Universal</t>
        </is>
      </c>
      <c r="H44" s="7" t="inlineStr">
        <is>
          <t>Hollow shaft, keyed</t>
        </is>
      </c>
      <c r="I44" s="7" t="inlineStr">
        <is>
          <t>IEC motor adaptor/input</t>
        </is>
      </c>
      <c r="J44" s="7" t="n">
        <v>2</v>
      </c>
      <c r="K44" s="8" t="inlineStr">
        <is>
          <t>SP 90 i=50 (IEC B14/B5 input flange, hollow output)</t>
        </is>
      </c>
      <c r="L44" s="9">
        <f>ROUND(309*(1-$O$3),2)</f>
        <v/>
      </c>
      <c r="M44" s="10">
        <f>J44*L44</f>
        <v/>
      </c>
      <c r="N44" s="11" t="n"/>
      <c r="O44" s="12" t="inlineStr">
        <is>
          <t>Factory-filled oil; quote output flange, torque arm and shafts separately | Direct NMRV equivalent, i=50, hollow Ø35 | Options (list → net): Output flange €23.00 → €14.95; Torque arm €40.00 → €26.00; Output shaft €24.00 → €15.60</t>
        </is>
      </c>
    </row>
    <row r="45">
      <c r="A45" s="13" t="inlineStr">
        <is>
          <t>GB-040</t>
        </is>
      </c>
      <c r="B45" s="13" t="inlineStr">
        <is>
          <t>Worm Gearbox</t>
        </is>
      </c>
      <c r="C45" s="13" t="inlineStr">
        <is>
          <t>NMRV</t>
        </is>
      </c>
      <c r="D45" s="13" t="inlineStr">
        <is>
          <t>090</t>
        </is>
      </c>
      <c r="E45" s="13" t="n"/>
      <c r="F45" s="13" t="inlineStr">
        <is>
          <t>1:60</t>
        </is>
      </c>
      <c r="G45" s="13" t="inlineStr">
        <is>
          <t>Universal</t>
        </is>
      </c>
      <c r="H45" s="13" t="inlineStr">
        <is>
          <t>Hollow shaft, keyed</t>
        </is>
      </c>
      <c r="I45" s="13" t="inlineStr">
        <is>
          <t>IEC motor adaptor/input</t>
        </is>
      </c>
      <c r="J45" s="13" t="n">
        <v>1</v>
      </c>
      <c r="K45" s="8" t="inlineStr">
        <is>
          <t>SP 90 i=60 (IEC B14/B5 input flange, hollow output)</t>
        </is>
      </c>
      <c r="L45" s="9">
        <f>ROUND(309*(1-$O$3),2)</f>
        <v/>
      </c>
      <c r="M45" s="10">
        <f>J45*L45</f>
        <v/>
      </c>
      <c r="N45" s="11" t="n"/>
      <c r="O45" s="12" t="inlineStr">
        <is>
          <t>Factory-filled oil; quote output flange, torque arm and shafts separately | Direct NMRV equivalent, i=60, hollow Ø35 | Options (list → net): Output flange €23.00 → €14.95; Torque arm €40.00 → €26.00; Output shaft €24.00 → €15.60</t>
        </is>
      </c>
    </row>
    <row r="46">
      <c r="A46" s="7" t="inlineStr">
        <is>
          <t>GB-041</t>
        </is>
      </c>
      <c r="B46" s="7" t="inlineStr">
        <is>
          <t>Worm Gearbox</t>
        </is>
      </c>
      <c r="C46" s="7" t="inlineStr">
        <is>
          <t>NMRV</t>
        </is>
      </c>
      <c r="D46" s="7" t="inlineStr">
        <is>
          <t>110</t>
        </is>
      </c>
      <c r="E46" s="7" t="n"/>
      <c r="F46" s="7" t="inlineStr">
        <is>
          <t>1:10</t>
        </is>
      </c>
      <c r="G46" s="7" t="inlineStr">
        <is>
          <t>Universal</t>
        </is>
      </c>
      <c r="H46" s="7" t="inlineStr">
        <is>
          <t>Hollow shaft, keyed</t>
        </is>
      </c>
      <c r="I46" s="7" t="inlineStr">
        <is>
          <t>IEC motor adaptor/input</t>
        </is>
      </c>
      <c r="J46" s="7" t="n">
        <v>1</v>
      </c>
      <c r="K46" s="8" t="inlineStr">
        <is>
          <t>SP 110 i=10 (IEC B14/B5 input flange, hollow output)</t>
        </is>
      </c>
      <c r="L46" s="9">
        <f>ROUND(485*(1-$O$3),2)</f>
        <v/>
      </c>
      <c r="M46" s="10">
        <f>J46*L46</f>
        <v/>
      </c>
      <c r="N46" s="11" t="n"/>
      <c r="O46" s="12" t="inlineStr">
        <is>
          <t>Factory-filled oil; quote output flange, torque arm and shafts separately | Direct NMRV equivalent, i=10, hollow Ø42 | Options (list → net): Output flange €35.00 → €22.75; Torque arm €67.00 → €43.55; Output shaft €39.00 → €25.35</t>
        </is>
      </c>
    </row>
    <row r="47">
      <c r="A47" s="13" t="inlineStr">
        <is>
          <t>GB-042</t>
        </is>
      </c>
      <c r="B47" s="13" t="inlineStr">
        <is>
          <t>Worm Gearbox</t>
        </is>
      </c>
      <c r="C47" s="13" t="inlineStr">
        <is>
          <t>NMRV</t>
        </is>
      </c>
      <c r="D47" s="13" t="inlineStr">
        <is>
          <t>110</t>
        </is>
      </c>
      <c r="E47" s="13" t="n"/>
      <c r="F47" s="13" t="inlineStr">
        <is>
          <t>1:20</t>
        </is>
      </c>
      <c r="G47" s="13" t="inlineStr">
        <is>
          <t>Universal</t>
        </is>
      </c>
      <c r="H47" s="13" t="inlineStr">
        <is>
          <t>Hollow shaft, keyed</t>
        </is>
      </c>
      <c r="I47" s="13" t="inlineStr">
        <is>
          <t>IEC motor adaptor/input</t>
        </is>
      </c>
      <c r="J47" s="13" t="n">
        <v>1</v>
      </c>
      <c r="K47" s="8" t="inlineStr">
        <is>
          <t>SP 110 i=20 (IEC B14/B5 input flange, hollow output)</t>
        </is>
      </c>
      <c r="L47" s="9">
        <f>ROUND(485*(1-$O$3),2)</f>
        <v/>
      </c>
      <c r="M47" s="10">
        <f>J47*L47</f>
        <v/>
      </c>
      <c r="N47" s="11" t="n"/>
      <c r="O47" s="12" t="inlineStr">
        <is>
          <t>Factory-filled oil; quote output flange, torque arm and shafts separately | Direct NMRV equivalent, i=20, hollow Ø42 | Options (list → net): Output flange €35.00 → €22.75; Torque arm €67.00 → €43.55; Output shaft €39.00 → €25.35</t>
        </is>
      </c>
    </row>
    <row r="48">
      <c r="A48" s="7" t="inlineStr">
        <is>
          <t>GB-043</t>
        </is>
      </c>
      <c r="B48" s="7" t="inlineStr">
        <is>
          <t>Worm Gearbox</t>
        </is>
      </c>
      <c r="C48" s="7" t="inlineStr">
        <is>
          <t>NMRV</t>
        </is>
      </c>
      <c r="D48" s="7" t="inlineStr">
        <is>
          <t>110</t>
        </is>
      </c>
      <c r="E48" s="7" t="n"/>
      <c r="F48" s="7" t="inlineStr">
        <is>
          <t>1:30</t>
        </is>
      </c>
      <c r="G48" s="7" t="inlineStr">
        <is>
          <t>Universal</t>
        </is>
      </c>
      <c r="H48" s="7" t="inlineStr">
        <is>
          <t>Hollow shaft, keyed</t>
        </is>
      </c>
      <c r="I48" s="7" t="inlineStr">
        <is>
          <t>IEC motor adaptor/input</t>
        </is>
      </c>
      <c r="J48" s="7" t="n">
        <v>1</v>
      </c>
      <c r="K48" s="8" t="inlineStr">
        <is>
          <t>SP 110 i=30 (IEC B14/B5 input flange, hollow output)</t>
        </is>
      </c>
      <c r="L48" s="9">
        <f>ROUND(485*(1-$O$3),2)</f>
        <v/>
      </c>
      <c r="M48" s="10">
        <f>J48*L48</f>
        <v/>
      </c>
      <c r="N48" s="11" t="n"/>
      <c r="O48" s="12" t="inlineStr">
        <is>
          <t>Factory-filled oil; quote output flange, torque arm and shafts separately | Direct NMRV equivalent, i=30, hollow Ø42 | Options (list → net): Output flange €35.00 → €22.75; Torque arm €67.00 → €43.55; Output shaft €39.00 → €25.35</t>
        </is>
      </c>
    </row>
    <row r="49">
      <c r="A49" s="13" t="inlineStr">
        <is>
          <t>GB-044</t>
        </is>
      </c>
      <c r="B49" s="13" t="inlineStr">
        <is>
          <t>Worm Gearbox</t>
        </is>
      </c>
      <c r="C49" s="13" t="inlineStr">
        <is>
          <t>NMRV</t>
        </is>
      </c>
      <c r="D49" s="13" t="inlineStr">
        <is>
          <t>110</t>
        </is>
      </c>
      <c r="E49" s="13" t="n"/>
      <c r="F49" s="13" t="inlineStr">
        <is>
          <t>1:40</t>
        </is>
      </c>
      <c r="G49" s="13" t="inlineStr">
        <is>
          <t>Universal</t>
        </is>
      </c>
      <c r="H49" s="13" t="inlineStr">
        <is>
          <t>Hollow shaft, keyed</t>
        </is>
      </c>
      <c r="I49" s="13" t="inlineStr">
        <is>
          <t>IEC motor adaptor/input</t>
        </is>
      </c>
      <c r="J49" s="13" t="n">
        <v>1</v>
      </c>
      <c r="K49" s="8" t="inlineStr">
        <is>
          <t>SP 110 i=40 (IEC B14/B5 input flange, hollow output)</t>
        </is>
      </c>
      <c r="L49" s="9">
        <f>ROUND(485*(1-$O$3),2)</f>
        <v/>
      </c>
      <c r="M49" s="10">
        <f>J49*L49</f>
        <v/>
      </c>
      <c r="N49" s="11" t="n"/>
      <c r="O49" s="12" t="inlineStr">
        <is>
          <t>Factory-filled oil; quote output flange, torque arm and shafts separately | Direct NMRV equivalent, i=40, hollow Ø42 | Options (list → net): Output flange €35.00 → €22.75; Torque arm €67.00 → €43.55; Output shaft €39.00 → €25.35</t>
        </is>
      </c>
    </row>
    <row r="50">
      <c r="A50" s="7" t="inlineStr">
        <is>
          <t>GB-045</t>
        </is>
      </c>
      <c r="B50" s="7" t="inlineStr">
        <is>
          <t>Worm Gearbox</t>
        </is>
      </c>
      <c r="C50" s="7" t="inlineStr">
        <is>
          <t>NMRV</t>
        </is>
      </c>
      <c r="D50" s="7" t="inlineStr">
        <is>
          <t>110</t>
        </is>
      </c>
      <c r="E50" s="7" t="n"/>
      <c r="F50" s="7" t="inlineStr">
        <is>
          <t>1:50</t>
        </is>
      </c>
      <c r="G50" s="7" t="inlineStr">
        <is>
          <t>Universal</t>
        </is>
      </c>
      <c r="H50" s="7" t="inlineStr">
        <is>
          <t>Hollow shaft, keyed</t>
        </is>
      </c>
      <c r="I50" s="7" t="inlineStr">
        <is>
          <t>IEC motor adaptor/input</t>
        </is>
      </c>
      <c r="J50" s="7" t="n">
        <v>1</v>
      </c>
      <c r="K50" s="8" t="inlineStr">
        <is>
          <t>SP 110 i=50 (IEC B14/B5 input flange, hollow output)</t>
        </is>
      </c>
      <c r="L50" s="9">
        <f>ROUND(485*(1-$O$3),2)</f>
        <v/>
      </c>
      <c r="M50" s="10">
        <f>J50*L50</f>
        <v/>
      </c>
      <c r="N50" s="11" t="n"/>
      <c r="O50" s="12" t="inlineStr">
        <is>
          <t>Factory-filled oil; quote output flange, torque arm and shafts separately | Direct NMRV equivalent, i=50, hollow Ø42 | Options (list → net): Output flange €35.00 → €22.75; Torque arm €67.00 → €43.55; Output shaft €39.00 → €25.35</t>
        </is>
      </c>
    </row>
    <row r="51">
      <c r="A51" s="13" t="inlineStr">
        <is>
          <t>GB-046</t>
        </is>
      </c>
      <c r="B51" s="13" t="inlineStr">
        <is>
          <t>Worm Gearbox</t>
        </is>
      </c>
      <c r="C51" s="13" t="inlineStr">
        <is>
          <t>NMRV</t>
        </is>
      </c>
      <c r="D51" s="13" t="inlineStr">
        <is>
          <t>130</t>
        </is>
      </c>
      <c r="E51" s="13" t="n"/>
      <c r="F51" s="13" t="inlineStr">
        <is>
          <t>1:50</t>
        </is>
      </c>
      <c r="G51" s="13" t="inlineStr">
        <is>
          <t>Universal</t>
        </is>
      </c>
      <c r="H51" s="13" t="inlineStr">
        <is>
          <t>Hollow shaft, keyed</t>
        </is>
      </c>
      <c r="I51" s="13" t="inlineStr">
        <is>
          <t>IEC motor adaptor/input</t>
        </is>
      </c>
      <c r="J51" s="13" t="n">
        <v>50</v>
      </c>
      <c r="K51" s="8" t="inlineStr">
        <is>
          <t>İRSAP 127 i=52 (IEC B14/B5 input flange, hollow output)</t>
        </is>
      </c>
      <c r="L51" s="9">
        <f>ROUND(826*(1-$O$3),2)</f>
        <v/>
      </c>
      <c r="M51" s="10">
        <f>J51*L51</f>
        <v/>
      </c>
      <c r="N51" s="11" t="n"/>
      <c r="O51" s="12" t="inlineStr">
        <is>
          <t>Cast-iron housing required; factory-filled oil | Cast-iron İRSA 127 offered (S series is aluminium); ratio 1:52 instead of 1:50; hollow Ø50 (NMRV130 = Ø45) | Options (list → net): Output flange €60.00 → €39.00; Torque arm €45.00 → €29.25; Output shaft €34.00 → €22.10</t>
        </is>
      </c>
    </row>
    <row r="52">
      <c r="A52" s="7" t="inlineStr">
        <is>
          <t>GB-047</t>
        </is>
      </c>
      <c r="B52" s="7" t="inlineStr">
        <is>
          <t>Worm Gearbox</t>
        </is>
      </c>
      <c r="C52" s="7" t="inlineStr">
        <is>
          <t>NMRV</t>
        </is>
      </c>
      <c r="D52" s="7" t="inlineStr">
        <is>
          <t>130</t>
        </is>
      </c>
      <c r="E52" s="7" t="n"/>
      <c r="F52" s="7" t="inlineStr">
        <is>
          <t>1:60</t>
        </is>
      </c>
      <c r="G52" s="7" t="inlineStr">
        <is>
          <t>Universal</t>
        </is>
      </c>
      <c r="H52" s="7" t="inlineStr">
        <is>
          <t>Hollow shaft, keyed</t>
        </is>
      </c>
      <c r="I52" s="7" t="inlineStr">
        <is>
          <t>IEC motor adaptor/input</t>
        </is>
      </c>
      <c r="J52" s="7" t="n">
        <v>50</v>
      </c>
      <c r="K52" s="8" t="inlineStr">
        <is>
          <t>İRSAP 127 i=65 (IEC B14/B5 input flange, hollow output)</t>
        </is>
      </c>
      <c r="L52" s="9">
        <f>ROUND(826*(1-$O$3),2)</f>
        <v/>
      </c>
      <c r="M52" s="10">
        <f>J52*L52</f>
        <v/>
      </c>
      <c r="N52" s="11" t="n"/>
      <c r="O52" s="12" t="inlineStr">
        <is>
          <t>Cast-iron housing required; factory-filled oil | Cast-iron İRSA 127 offered (S series is aluminium); ratio 1:65 instead of 1:60; hollow Ø50 (NMRV130 = Ø45) | Options (list → net): Output flange €60.00 → €39.00; Torque arm €45.00 → €29.25; Output shaft €34.00 → €22.10</t>
        </is>
      </c>
    </row>
    <row r="53">
      <c r="A53" s="13" t="inlineStr">
        <is>
          <t>GB-048</t>
        </is>
      </c>
      <c r="B53" s="13" t="inlineStr">
        <is>
          <t>Worm Gearbox</t>
        </is>
      </c>
      <c r="C53" s="13" t="inlineStr">
        <is>
          <t>NMRV</t>
        </is>
      </c>
      <c r="D53" s="13" t="inlineStr">
        <is>
          <t>150</t>
        </is>
      </c>
      <c r="E53" s="13" t="n"/>
      <c r="F53" s="13" t="inlineStr">
        <is>
          <t>1:50</t>
        </is>
      </c>
      <c r="G53" s="13" t="inlineStr">
        <is>
          <t>Universal</t>
        </is>
      </c>
      <c r="H53" s="13" t="inlineStr">
        <is>
          <t>Hollow shaft, keyed</t>
        </is>
      </c>
      <c r="I53" s="13" t="inlineStr">
        <is>
          <t>IEC motor adaptor/input</t>
        </is>
      </c>
      <c r="J53" s="13" t="n">
        <v>50</v>
      </c>
      <c r="K53" s="8" t="inlineStr">
        <is>
          <t>İRSAP 127 i=52 (IEC B14/B5 input flange, hollow output)</t>
        </is>
      </c>
      <c r="L53" s="9">
        <f>ROUND(826*(1-$O$3),2)</f>
        <v/>
      </c>
      <c r="M53" s="10">
        <f>J53*L53</f>
        <v/>
      </c>
      <c r="N53" s="11" t="n"/>
      <c r="O53" s="12" t="inlineStr">
        <is>
          <t>Cast-iron housing required; factory-filled oil | Cast-iron İRSA 127 offered (S series is aluminium); ratio 1:52 instead of 1:50; hollow Ø50 | Options (list → net): Output flange €60.00 → €39.00; Torque arm €45.00 → €29.25; Output shaft €34.00 → €22.10</t>
        </is>
      </c>
    </row>
    <row r="54">
      <c r="A54" s="7" t="inlineStr">
        <is>
          <t>GB-049</t>
        </is>
      </c>
      <c r="B54" s="7" t="inlineStr">
        <is>
          <t>Worm Gearbox</t>
        </is>
      </c>
      <c r="C54" s="7" t="inlineStr">
        <is>
          <t>NMRV</t>
        </is>
      </c>
      <c r="D54" s="7" t="inlineStr">
        <is>
          <t>150</t>
        </is>
      </c>
      <c r="E54" s="7" t="n"/>
      <c r="F54" s="7" t="inlineStr">
        <is>
          <t>1:60</t>
        </is>
      </c>
      <c r="G54" s="7" t="inlineStr">
        <is>
          <t>Universal</t>
        </is>
      </c>
      <c r="H54" s="7" t="inlineStr">
        <is>
          <t>Hollow shaft, keyed</t>
        </is>
      </c>
      <c r="I54" s="7" t="inlineStr">
        <is>
          <t>IEC motor adaptor/input</t>
        </is>
      </c>
      <c r="J54" s="7" t="n">
        <v>50</v>
      </c>
      <c r="K54" s="8" t="inlineStr">
        <is>
          <t>İRSAP 127 i=65 (IEC B14/B5 input flange, hollow output)</t>
        </is>
      </c>
      <c r="L54" s="9">
        <f>ROUND(826*(1-$O$3),2)</f>
        <v/>
      </c>
      <c r="M54" s="10">
        <f>J54*L54</f>
        <v/>
      </c>
      <c r="N54" s="11" t="n"/>
      <c r="O54" s="12" t="inlineStr">
        <is>
          <t>Cast-iron housing required; factory-filled oil | Cast-iron İRSA 127 offered (S series is aluminium); ratio 1:65 instead of 1:60; hollow Ø50 | Options (list → net): Output flange €60.00 → €39.00; Torque arm €45.00 → €29.25; Output shaft €34.00 → €22.10</t>
        </is>
      </c>
    </row>
    <row r="55">
      <c r="A55" s="13" t="inlineStr">
        <is>
          <t>GB-050</t>
        </is>
      </c>
      <c r="B55" s="13" t="inlineStr">
        <is>
          <t>Helical Inline</t>
        </is>
      </c>
      <c r="C55" s="13" t="inlineStr">
        <is>
          <t>R / Equivalent</t>
        </is>
      </c>
      <c r="D55" s="13" t="inlineStr">
        <is>
          <t>Supplier selection</t>
        </is>
      </c>
      <c r="E55" s="13" t="n">
        <v>0.37</v>
      </c>
      <c r="F55" s="13" t="inlineStr">
        <is>
          <t>1:10</t>
        </is>
      </c>
      <c r="G55" s="13" t="inlineStr">
        <is>
          <t>B3 foot</t>
        </is>
      </c>
      <c r="H55" s="13" t="inlineStr">
        <is>
          <t>Solid output shaft</t>
        </is>
      </c>
      <c r="I55" s="13" t="inlineStr">
        <is>
          <t>IEC motor adaptor/input</t>
        </is>
      </c>
      <c r="J55" s="13" t="n">
        <v>1</v>
      </c>
      <c r="K55" s="8" t="inlineStr">
        <is>
          <t>İRAP 42 i=9.845 + IEC 71 B5 input (code 155)</t>
        </is>
      </c>
      <c r="L55" s="9">
        <f>ROUND(224.0*(1-$O$3),2)</f>
        <v/>
      </c>
      <c r="M55" s="10">
        <f>J55*L55</f>
        <v/>
      </c>
      <c r="N55" s="11" t="n"/>
      <c r="O55" s="12" t="inlineStr">
        <is>
          <t>Quote reducer-only and complete gearmotor alternatives | Catalogue ratio i=9.845 (n2≈142 rpm), Sf 1.94 at 0.37 kW; Gearmotor alternative: İRAM 42 / 71 M 4b (not priced)</t>
        </is>
      </c>
    </row>
    <row r="56">
      <c r="A56" s="7" t="inlineStr">
        <is>
          <t>GB-051</t>
        </is>
      </c>
      <c r="B56" s="7" t="inlineStr">
        <is>
          <t>Helical Inline</t>
        </is>
      </c>
      <c r="C56" s="7" t="inlineStr">
        <is>
          <t>R / Equivalent</t>
        </is>
      </c>
      <c r="D56" s="7" t="inlineStr">
        <is>
          <t>Supplier selection</t>
        </is>
      </c>
      <c r="E56" s="7" t="n">
        <v>0.37</v>
      </c>
      <c r="F56" s="7" t="inlineStr">
        <is>
          <t>1:20</t>
        </is>
      </c>
      <c r="G56" s="7" t="inlineStr">
        <is>
          <t>B3 foot</t>
        </is>
      </c>
      <c r="H56" s="7" t="inlineStr">
        <is>
          <t>Solid output shaft</t>
        </is>
      </c>
      <c r="I56" s="7" t="inlineStr">
        <is>
          <t>IEC motor adaptor/input</t>
        </is>
      </c>
      <c r="J56" s="7" t="n">
        <v>1</v>
      </c>
      <c r="K56" s="8" t="inlineStr">
        <is>
          <t>İRAP 43 i=20.0 + IEC 71 B5 input (code 155)</t>
        </is>
      </c>
      <c r="L56" s="9">
        <f>ROUND(228.0*(1-$O$3),2)</f>
        <v/>
      </c>
      <c r="M56" s="10">
        <f>J56*L56</f>
        <v/>
      </c>
      <c r="N56" s="11" t="n"/>
      <c r="O56" s="12" t="inlineStr">
        <is>
          <t>Quote reducer-only and complete gearmotor alternatives | Catalogue ratio i=20.0 (n2≈69 rpm), Sf 1.68 at 0.37 kW; Gearmotor alternative: İRAM 43 / 71 M 4b (not priced)</t>
        </is>
      </c>
    </row>
    <row r="57">
      <c r="A57" s="13" t="inlineStr">
        <is>
          <t>GB-052</t>
        </is>
      </c>
      <c r="B57" s="13" t="inlineStr">
        <is>
          <t>Helical Inline</t>
        </is>
      </c>
      <c r="C57" s="13" t="inlineStr">
        <is>
          <t>R / Equivalent</t>
        </is>
      </c>
      <c r="D57" s="13" t="inlineStr">
        <is>
          <t>Supplier selection</t>
        </is>
      </c>
      <c r="E57" s="13" t="n">
        <v>0.37</v>
      </c>
      <c r="F57" s="13" t="inlineStr">
        <is>
          <t>1:30</t>
        </is>
      </c>
      <c r="G57" s="13" t="inlineStr">
        <is>
          <t>B3 foot</t>
        </is>
      </c>
      <c r="H57" s="13" t="inlineStr">
        <is>
          <t>Solid output shaft</t>
        </is>
      </c>
      <c r="I57" s="13" t="inlineStr">
        <is>
          <t>IEC motor adaptor/input</t>
        </is>
      </c>
      <c r="J57" s="13" t="n">
        <v>1</v>
      </c>
      <c r="K57" s="8" t="inlineStr">
        <is>
          <t>İRAP 53 i=31.33 + IEC 71 B5 input (code 155)</t>
        </is>
      </c>
      <c r="L57" s="9">
        <f>ROUND(278.0*(1-$O$3),2)</f>
        <v/>
      </c>
      <c r="M57" s="10">
        <f>J57*L57</f>
        <v/>
      </c>
      <c r="N57" s="11" t="n"/>
      <c r="O57" s="12" t="inlineStr">
        <is>
          <t>Quote reducer-only and complete gearmotor alternatives | Catalogue ratio i=31.33 (n2≈44 rpm), Sf 2.49 at 0.37 kW; Gearmotor alternative: İRAM 53 / 71 M 4b (not priced)</t>
        </is>
      </c>
    </row>
    <row r="58">
      <c r="A58" s="7" t="inlineStr">
        <is>
          <t>GB-053</t>
        </is>
      </c>
      <c r="B58" s="7" t="inlineStr">
        <is>
          <t>Helical Inline</t>
        </is>
      </c>
      <c r="C58" s="7" t="inlineStr">
        <is>
          <t>R / Equivalent</t>
        </is>
      </c>
      <c r="D58" s="7" t="inlineStr">
        <is>
          <t>Supplier selection</t>
        </is>
      </c>
      <c r="E58" s="7" t="n">
        <v>0.37</v>
      </c>
      <c r="F58" s="7" t="inlineStr">
        <is>
          <t>1:40</t>
        </is>
      </c>
      <c r="G58" s="7" t="inlineStr">
        <is>
          <t>B3 foot</t>
        </is>
      </c>
      <c r="H58" s="7" t="inlineStr">
        <is>
          <t>Solid output shaft</t>
        </is>
      </c>
      <c r="I58" s="7" t="inlineStr">
        <is>
          <t>IEC motor adaptor/input</t>
        </is>
      </c>
      <c r="J58" s="7" t="n">
        <v>1</v>
      </c>
      <c r="K58" s="8" t="inlineStr">
        <is>
          <t>İRAP 53 i=39.09 + IEC 71 B5 input (code 155)</t>
        </is>
      </c>
      <c r="L58" s="9">
        <f>ROUND(278.0*(1-$O$3),2)</f>
        <v/>
      </c>
      <c r="M58" s="10">
        <f>J58*L58</f>
        <v/>
      </c>
      <c r="N58" s="11" t="n"/>
      <c r="O58" s="12" t="inlineStr">
        <is>
          <t>Quote reducer-only and complete gearmotor alternatives | Catalogue ratio i=39.09 (n2≈35 rpm), Sf 2.07 at 0.37 kW; Gearmotor alternative: İRAM 53 / 71 M 4b (not priced)</t>
        </is>
      </c>
    </row>
    <row r="59">
      <c r="A59" s="13" t="inlineStr">
        <is>
          <t>GB-054</t>
        </is>
      </c>
      <c r="B59" s="13" t="inlineStr">
        <is>
          <t>Helical Inline</t>
        </is>
      </c>
      <c r="C59" s="13" t="inlineStr">
        <is>
          <t>R / Equivalent</t>
        </is>
      </c>
      <c r="D59" s="13" t="inlineStr">
        <is>
          <t>Supplier selection</t>
        </is>
      </c>
      <c r="E59" s="13" t="n">
        <v>0.55</v>
      </c>
      <c r="F59" s="13" t="inlineStr">
        <is>
          <t>1:10</t>
        </is>
      </c>
      <c r="G59" s="13" t="inlineStr">
        <is>
          <t>B3 foot</t>
        </is>
      </c>
      <c r="H59" s="13" t="inlineStr">
        <is>
          <t>Solid output shaft</t>
        </is>
      </c>
      <c r="I59" s="13" t="inlineStr">
        <is>
          <t>IEC motor adaptor/input</t>
        </is>
      </c>
      <c r="J59" s="13" t="n">
        <v>1</v>
      </c>
      <c r="K59" s="8" t="inlineStr">
        <is>
          <t>İRAP 52 i=9.47 + IEC 80 B5 input (code 155)</t>
        </is>
      </c>
      <c r="L59" s="9">
        <f>ROUND(277.0*(1-$O$3),2)</f>
        <v/>
      </c>
      <c r="M59" s="10">
        <f>J59*L59</f>
        <v/>
      </c>
      <c r="N59" s="11" t="n"/>
      <c r="O59" s="12" t="inlineStr">
        <is>
          <t>Quote reducer-only and complete gearmotor alternatives | Catalogue ratio i=9.47 (n2≈147 rpm), Sf 4.4 at 0.55 kW; Gearmotor alternative: İRAM 52 / 80 M 4a (not priced)</t>
        </is>
      </c>
    </row>
    <row r="60">
      <c r="A60" s="7" t="inlineStr">
        <is>
          <t>GB-055</t>
        </is>
      </c>
      <c r="B60" s="7" t="inlineStr">
        <is>
          <t>Helical Inline</t>
        </is>
      </c>
      <c r="C60" s="7" t="inlineStr">
        <is>
          <t>R / Equivalent</t>
        </is>
      </c>
      <c r="D60" s="7" t="inlineStr">
        <is>
          <t>Supplier selection</t>
        </is>
      </c>
      <c r="E60" s="7" t="n">
        <v>0.55</v>
      </c>
      <c r="F60" s="7" t="inlineStr">
        <is>
          <t>1:15</t>
        </is>
      </c>
      <c r="G60" s="7" t="inlineStr">
        <is>
          <t>B3 foot</t>
        </is>
      </c>
      <c r="H60" s="7" t="inlineStr">
        <is>
          <t>Solid output shaft</t>
        </is>
      </c>
      <c r="I60" s="7" t="inlineStr">
        <is>
          <t>IEC motor adaptor/input</t>
        </is>
      </c>
      <c r="J60" s="7" t="n">
        <v>1</v>
      </c>
      <c r="K60" s="8" t="inlineStr">
        <is>
          <t>İRAP 43 i=14.6 + IEC 80 B5 input (code 155)</t>
        </is>
      </c>
      <c r="L60" s="9">
        <f>ROUND(238.0*(1-$O$3),2)</f>
        <v/>
      </c>
      <c r="M60" s="10">
        <f>J60*L60</f>
        <v/>
      </c>
      <c r="N60" s="11" t="n"/>
      <c r="O60" s="12" t="inlineStr">
        <is>
          <t>Quote reducer-only and complete gearmotor alternatives | Catalogue ratio i=14.6 (n2≈95 rpm), Sf 1.54 at 0.55 kW; Gearmotor alternative: İRAM 43 / 80 M 4a (not priced)</t>
        </is>
      </c>
    </row>
    <row r="61">
      <c r="A61" s="13" t="inlineStr">
        <is>
          <t>GB-056</t>
        </is>
      </c>
      <c r="B61" s="13" t="inlineStr">
        <is>
          <t>Helical Inline</t>
        </is>
      </c>
      <c r="C61" s="13" t="inlineStr">
        <is>
          <t>R / Equivalent</t>
        </is>
      </c>
      <c r="D61" s="13" t="inlineStr">
        <is>
          <t>Supplier selection</t>
        </is>
      </c>
      <c r="E61" s="13" t="n">
        <v>0.55</v>
      </c>
      <c r="F61" s="13" t="inlineStr">
        <is>
          <t>1:20</t>
        </is>
      </c>
      <c r="G61" s="13" t="inlineStr">
        <is>
          <t>B3 foot</t>
        </is>
      </c>
      <c r="H61" s="13" t="inlineStr">
        <is>
          <t>Solid output shaft</t>
        </is>
      </c>
      <c r="I61" s="13" t="inlineStr">
        <is>
          <t>IEC motor adaptor/input</t>
        </is>
      </c>
      <c r="J61" s="13" t="n">
        <v>1</v>
      </c>
      <c r="K61" s="8" t="inlineStr">
        <is>
          <t>İRAP 53 i=21.88 + IEC 80 B5 input (code 155)</t>
        </is>
      </c>
      <c r="L61" s="9">
        <f>ROUND(288.0*(1-$O$3),2)</f>
        <v/>
      </c>
      <c r="M61" s="10">
        <f>J61*L61</f>
        <v/>
      </c>
      <c r="N61" s="11" t="n"/>
      <c r="O61" s="12" t="inlineStr">
        <is>
          <t>Quote reducer-only and complete gearmotor alternatives | Catalogue ratio i=21.88 (n2≈63 rpm), Sf 2.22 at 0.55 kW; Gearmotor alternative: İRAM 53 / 80 M 4a (not priced)</t>
        </is>
      </c>
    </row>
    <row r="62">
      <c r="A62" s="7" t="inlineStr">
        <is>
          <t>GB-057</t>
        </is>
      </c>
      <c r="B62" s="7" t="inlineStr">
        <is>
          <t>Helical Inline</t>
        </is>
      </c>
      <c r="C62" s="7" t="inlineStr">
        <is>
          <t>R / Equivalent</t>
        </is>
      </c>
      <c r="D62" s="7" t="inlineStr">
        <is>
          <t>Supplier selection</t>
        </is>
      </c>
      <c r="E62" s="7" t="n">
        <v>0.55</v>
      </c>
      <c r="F62" s="7" t="inlineStr">
        <is>
          <t>1:30</t>
        </is>
      </c>
      <c r="G62" s="7" t="inlineStr">
        <is>
          <t>B3 foot</t>
        </is>
      </c>
      <c r="H62" s="7" t="inlineStr">
        <is>
          <t>Solid output shaft</t>
        </is>
      </c>
      <c r="I62" s="7" t="inlineStr">
        <is>
          <t>IEC motor adaptor/input</t>
        </is>
      </c>
      <c r="J62" s="7" t="n">
        <v>1</v>
      </c>
      <c r="K62" s="8" t="inlineStr">
        <is>
          <t>İRAP 53 i=31.33 + IEC 80 B5 input (code 155)</t>
        </is>
      </c>
      <c r="L62" s="9">
        <f>ROUND(288.0*(1-$O$3),2)</f>
        <v/>
      </c>
      <c r="M62" s="10">
        <f>J62*L62</f>
        <v/>
      </c>
      <c r="N62" s="11" t="n"/>
      <c r="O62" s="12" t="inlineStr">
        <is>
          <t>Quote reducer-only and complete gearmotor alternatives | Catalogue ratio i=31.33 (n2≈44 rpm), Sf 1.68 at 0.55 kW; Gearmotor alternative: İRAM 53 / 80 M 4a (not priced)</t>
        </is>
      </c>
    </row>
    <row r="63">
      <c r="A63" s="13" t="inlineStr">
        <is>
          <t>GB-058</t>
        </is>
      </c>
      <c r="B63" s="13" t="inlineStr">
        <is>
          <t>Helical Inline</t>
        </is>
      </c>
      <c r="C63" s="13" t="inlineStr">
        <is>
          <t>R / Equivalent</t>
        </is>
      </c>
      <c r="D63" s="13" t="inlineStr">
        <is>
          <t>Supplier selection</t>
        </is>
      </c>
      <c r="E63" s="13" t="n">
        <v>0.75</v>
      </c>
      <c r="F63" s="13" t="inlineStr">
        <is>
          <t>1:10</t>
        </is>
      </c>
      <c r="G63" s="13" t="inlineStr">
        <is>
          <t>B3 foot</t>
        </is>
      </c>
      <c r="H63" s="13" t="inlineStr">
        <is>
          <t>Solid output shaft</t>
        </is>
      </c>
      <c r="I63" s="13" t="inlineStr">
        <is>
          <t>IEC motor adaptor/input</t>
        </is>
      </c>
      <c r="J63" s="13" t="n">
        <v>2</v>
      </c>
      <c r="K63" s="8" t="inlineStr">
        <is>
          <t>İRAP 52 i=9.47 + IEC 80 B5 input (code 155)</t>
        </is>
      </c>
      <c r="L63" s="9">
        <f>ROUND(277.0*(1-$O$3),2)</f>
        <v/>
      </c>
      <c r="M63" s="10">
        <f>J63*L63</f>
        <v/>
      </c>
      <c r="N63" s="11" t="n"/>
      <c r="O63" s="12" t="inlineStr">
        <is>
          <t>Quote reducer-only and complete gearmotor alternatives | Catalogue ratio i=9.47 (n2≈147 rpm), Sf 3.23 at 0.75 kW; Gearmotor alternative: İRAM 52 / 80 M 4b (not priced)</t>
        </is>
      </c>
    </row>
    <row r="64">
      <c r="A64" s="7" t="inlineStr">
        <is>
          <t>GB-059</t>
        </is>
      </c>
      <c r="B64" s="7" t="inlineStr">
        <is>
          <t>Helical Inline</t>
        </is>
      </c>
      <c r="C64" s="7" t="inlineStr">
        <is>
          <t>R / Equivalent</t>
        </is>
      </c>
      <c r="D64" s="7" t="inlineStr">
        <is>
          <t>Supplier selection</t>
        </is>
      </c>
      <c r="E64" s="7" t="n">
        <v>0.75</v>
      </c>
      <c r="F64" s="7" t="inlineStr">
        <is>
          <t>1:20</t>
        </is>
      </c>
      <c r="G64" s="7" t="inlineStr">
        <is>
          <t>B3 foot</t>
        </is>
      </c>
      <c r="H64" s="7" t="inlineStr">
        <is>
          <t>Solid output shaft</t>
        </is>
      </c>
      <c r="I64" s="7" t="inlineStr">
        <is>
          <t>IEC motor adaptor/input</t>
        </is>
      </c>
      <c r="J64" s="7" t="n">
        <v>2</v>
      </c>
      <c r="K64" s="8" t="inlineStr">
        <is>
          <t>İRAP 53 i=19.69 + IEC 80 B5 input (code 155)</t>
        </is>
      </c>
      <c r="L64" s="9">
        <f>ROUND(288.0*(1-$O$3),2)</f>
        <v/>
      </c>
      <c r="M64" s="10">
        <f>J64*L64</f>
        <v/>
      </c>
      <c r="N64" s="11" t="n"/>
      <c r="O64" s="12" t="inlineStr">
        <is>
          <t>Quote reducer-only and complete gearmotor alternatives | Catalogue ratio i=19.69 (n2≈71 rpm), Sf 1.81 at 0.75 kW; Gearmotor alternative: İRAM 53 / 80 M 4b (not priced)</t>
        </is>
      </c>
    </row>
    <row r="65">
      <c r="A65" s="13" t="inlineStr">
        <is>
          <t>GB-060</t>
        </is>
      </c>
      <c r="B65" s="13" t="inlineStr">
        <is>
          <t>Helical Inline</t>
        </is>
      </c>
      <c r="C65" s="13" t="inlineStr">
        <is>
          <t>R / Equivalent</t>
        </is>
      </c>
      <c r="D65" s="13" t="inlineStr">
        <is>
          <t>Supplier selection</t>
        </is>
      </c>
      <c r="E65" s="13" t="n">
        <v>0.75</v>
      </c>
      <c r="F65" s="13" t="inlineStr">
        <is>
          <t>1:30</t>
        </is>
      </c>
      <c r="G65" s="13" t="inlineStr">
        <is>
          <t>B3 foot</t>
        </is>
      </c>
      <c r="H65" s="13" t="inlineStr">
        <is>
          <t>Solid output shaft</t>
        </is>
      </c>
      <c r="I65" s="13" t="inlineStr">
        <is>
          <t>IEC motor adaptor/input</t>
        </is>
      </c>
      <c r="J65" s="13" t="n">
        <v>1</v>
      </c>
      <c r="K65" s="8" t="inlineStr">
        <is>
          <t>İRAP 63 i=29.85 + IEC 80 B5 input (code 155)</t>
        </is>
      </c>
      <c r="L65" s="9">
        <f>ROUND(422.0*(1-$O$3),2)</f>
        <v/>
      </c>
      <c r="M65" s="10">
        <f>J65*L65</f>
        <v/>
      </c>
      <c r="N65" s="11" t="n"/>
      <c r="O65" s="12" t="inlineStr">
        <is>
          <t>Quote reducer-only and complete gearmotor alternatives | Catalogue ratio i=29.85 (n2≈46 rpm), Sf 3.22 at 0.75 kW; Gearmotor alternative: İRAM 63 / 80 M 4b (not priced)</t>
        </is>
      </c>
    </row>
    <row r="66">
      <c r="A66" s="7" t="inlineStr">
        <is>
          <t>GB-061</t>
        </is>
      </c>
      <c r="B66" s="7" t="inlineStr">
        <is>
          <t>Helical Inline</t>
        </is>
      </c>
      <c r="C66" s="7" t="inlineStr">
        <is>
          <t>R / Equivalent</t>
        </is>
      </c>
      <c r="D66" s="7" t="inlineStr">
        <is>
          <t>Supplier selection</t>
        </is>
      </c>
      <c r="E66" s="7" t="n">
        <v>0.75</v>
      </c>
      <c r="F66" s="7" t="inlineStr">
        <is>
          <t>1:40</t>
        </is>
      </c>
      <c r="G66" s="7" t="inlineStr">
        <is>
          <t>B3 foot</t>
        </is>
      </c>
      <c r="H66" s="7" t="inlineStr">
        <is>
          <t>Solid output shaft</t>
        </is>
      </c>
      <c r="I66" s="7" t="inlineStr">
        <is>
          <t>IEC motor adaptor/input</t>
        </is>
      </c>
      <c r="J66" s="7" t="n">
        <v>1</v>
      </c>
      <c r="K66" s="8" t="inlineStr">
        <is>
          <t>İRAP 731 i=39.88 + IEC 80 B5 input (code 155)</t>
        </is>
      </c>
      <c r="L66" s="9">
        <f>ROUND(571.0*(1-$O$3),2)</f>
        <v/>
      </c>
      <c r="M66" s="10">
        <f>J66*L66</f>
        <v/>
      </c>
      <c r="N66" s="11" t="n"/>
      <c r="O66" s="12" t="inlineStr">
        <is>
          <t>Quote reducer-only and complete gearmotor alternatives | Catalogue ratio i=39.88 (n2≈35 rpm), Sf 3.22 at 0.75 kW; Gearmotor alternative: İRAM 731 / 80 M 4b (not priced)</t>
        </is>
      </c>
    </row>
    <row r="67">
      <c r="A67" s="13" t="inlineStr">
        <is>
          <t>GB-062</t>
        </is>
      </c>
      <c r="B67" s="13" t="inlineStr">
        <is>
          <t>Helical Inline</t>
        </is>
      </c>
      <c r="C67" s="13" t="inlineStr">
        <is>
          <t>R / Equivalent</t>
        </is>
      </c>
      <c r="D67" s="13" t="inlineStr">
        <is>
          <t>Supplier selection</t>
        </is>
      </c>
      <c r="E67" s="13" t="n">
        <v>1.1</v>
      </c>
      <c r="F67" s="13" t="inlineStr">
        <is>
          <t>1:10</t>
        </is>
      </c>
      <c r="G67" s="13" t="inlineStr">
        <is>
          <t>B3 foot</t>
        </is>
      </c>
      <c r="H67" s="13" t="inlineStr">
        <is>
          <t>Solid output shaft</t>
        </is>
      </c>
      <c r="I67" s="13" t="inlineStr">
        <is>
          <t>IEC motor adaptor/input</t>
        </is>
      </c>
      <c r="J67" s="13" t="n">
        <v>1</v>
      </c>
      <c r="K67" s="8" t="inlineStr">
        <is>
          <t>İRAP 52 i=9.47 + IEC 90 B5 input (code 155)</t>
        </is>
      </c>
      <c r="L67" s="9">
        <f>ROUND(277.0*(1-$O$3),2)</f>
        <v/>
      </c>
      <c r="M67" s="10">
        <f>J67*L67</f>
        <v/>
      </c>
      <c r="N67" s="11" t="n"/>
      <c r="O67" s="12" t="inlineStr">
        <is>
          <t>Quote reducer-only and complete gearmotor alternatives | Catalogue ratio i=9.47 (n2≈147 rpm), Sf 2.2 at 1.1 kW; Gearmotor alternative: İRAM 52 / 90 S 4a (not priced)</t>
        </is>
      </c>
    </row>
    <row r="68">
      <c r="A68" s="7" t="inlineStr">
        <is>
          <t>GB-063</t>
        </is>
      </c>
      <c r="B68" s="7" t="inlineStr">
        <is>
          <t>Helical Inline</t>
        </is>
      </c>
      <c r="C68" s="7" t="inlineStr">
        <is>
          <t>R / Equivalent</t>
        </is>
      </c>
      <c r="D68" s="7" t="inlineStr">
        <is>
          <t>Supplier selection</t>
        </is>
      </c>
      <c r="E68" s="7" t="n">
        <v>1.1</v>
      </c>
      <c r="F68" s="7" t="inlineStr">
        <is>
          <t>1:15</t>
        </is>
      </c>
      <c r="G68" s="7" t="inlineStr">
        <is>
          <t>B3 foot</t>
        </is>
      </c>
      <c r="H68" s="7" t="inlineStr">
        <is>
          <t>Solid output shaft</t>
        </is>
      </c>
      <c r="I68" s="7" t="inlineStr">
        <is>
          <t>IEC motor adaptor/input</t>
        </is>
      </c>
      <c r="J68" s="7" t="n">
        <v>1</v>
      </c>
      <c r="K68" s="8" t="inlineStr">
        <is>
          <t>İRAP 62 i=15.13 + IEC 90 B5 input (code 155)</t>
        </is>
      </c>
      <c r="L68" s="9">
        <f>ROUND(409.0*(1-$O$3),2)</f>
        <v/>
      </c>
      <c r="M68" s="10">
        <f>J68*L68</f>
        <v/>
      </c>
      <c r="N68" s="11" t="n"/>
      <c r="O68" s="12" t="inlineStr">
        <is>
          <t>Quote reducer-only and complete gearmotor alternatives | Catalogue ratio i=15.13 (n2≈92 rpm), Sf 3.75 at 1.1 kW; Gearmotor alternative: İRAM 62 / 90 S 4a (not priced)</t>
        </is>
      </c>
    </row>
    <row r="69">
      <c r="A69" s="13" t="inlineStr">
        <is>
          <t>GB-064</t>
        </is>
      </c>
      <c r="B69" s="13" t="inlineStr">
        <is>
          <t>Helical Inline</t>
        </is>
      </c>
      <c r="C69" s="13" t="inlineStr">
        <is>
          <t>R / Equivalent</t>
        </is>
      </c>
      <c r="D69" s="13" t="inlineStr">
        <is>
          <t>Supplier selection</t>
        </is>
      </c>
      <c r="E69" s="13" t="n">
        <v>1.1</v>
      </c>
      <c r="F69" s="13" t="inlineStr">
        <is>
          <t>1:20</t>
        </is>
      </c>
      <c r="G69" s="13" t="inlineStr">
        <is>
          <t>B3 foot</t>
        </is>
      </c>
      <c r="H69" s="13" t="inlineStr">
        <is>
          <t>Solid output shaft</t>
        </is>
      </c>
      <c r="I69" s="13" t="inlineStr">
        <is>
          <t>IEC motor adaptor/input</t>
        </is>
      </c>
      <c r="J69" s="13" t="n">
        <v>1</v>
      </c>
      <c r="K69" s="8" t="inlineStr">
        <is>
          <t>İRAP 63 i=20.53 + IEC 90 B5 input (code 155)</t>
        </is>
      </c>
      <c r="L69" s="9">
        <f>ROUND(422.0*(1-$O$3),2)</f>
        <v/>
      </c>
      <c r="M69" s="10">
        <f>J69*L69</f>
        <v/>
      </c>
      <c r="N69" s="11" t="n"/>
      <c r="O69" s="12" t="inlineStr">
        <is>
          <t>Quote reducer-only and complete gearmotor alternatives | Catalogue ratio i=20.53 (n2≈68 rpm), Sf 3.2 at 1.1 kW; Gearmotor alternative: İRAM 63 / 90 S 4a (not priced)</t>
        </is>
      </c>
    </row>
    <row r="70">
      <c r="A70" s="7" t="inlineStr">
        <is>
          <t>GB-065</t>
        </is>
      </c>
      <c r="B70" s="7" t="inlineStr">
        <is>
          <t>Helical Inline</t>
        </is>
      </c>
      <c r="C70" s="7" t="inlineStr">
        <is>
          <t>R / Equivalent</t>
        </is>
      </c>
      <c r="D70" s="7" t="inlineStr">
        <is>
          <t>Supplier selection</t>
        </is>
      </c>
      <c r="E70" s="7" t="n">
        <v>1.1</v>
      </c>
      <c r="F70" s="7" t="inlineStr">
        <is>
          <t>1:30</t>
        </is>
      </c>
      <c r="G70" s="7" t="inlineStr">
        <is>
          <t>B3 foot</t>
        </is>
      </c>
      <c r="H70" s="7" t="inlineStr">
        <is>
          <t>Solid output shaft</t>
        </is>
      </c>
      <c r="I70" s="7" t="inlineStr">
        <is>
          <t>IEC motor adaptor/input</t>
        </is>
      </c>
      <c r="J70" s="7" t="n">
        <v>1</v>
      </c>
      <c r="K70" s="8" t="inlineStr">
        <is>
          <t>İRAP 63 i=29.85 + IEC 90 B5 input (code 155)</t>
        </is>
      </c>
      <c r="L70" s="9">
        <f>ROUND(422.0*(1-$O$3),2)</f>
        <v/>
      </c>
      <c r="M70" s="10">
        <f>J70*L70</f>
        <v/>
      </c>
      <c r="N70" s="11" t="n"/>
      <c r="O70" s="12" t="inlineStr">
        <is>
          <t>Quote reducer-only and complete gearmotor alternatives | Catalogue ratio i=29.85 (n2≈46 rpm), Sf 2.19 at 1.1 kW; Gearmotor alternative: İRAM 63 / 90 S 4a (not priced)</t>
        </is>
      </c>
    </row>
    <row r="71">
      <c r="A71" s="13" t="inlineStr">
        <is>
          <t>GB-066</t>
        </is>
      </c>
      <c r="B71" s="13" t="inlineStr">
        <is>
          <t>Helical Inline</t>
        </is>
      </c>
      <c r="C71" s="13" t="inlineStr">
        <is>
          <t>R / Equivalent</t>
        </is>
      </c>
      <c r="D71" s="13" t="inlineStr">
        <is>
          <t>Supplier selection</t>
        </is>
      </c>
      <c r="E71" s="13" t="n">
        <v>1.1</v>
      </c>
      <c r="F71" s="13" t="inlineStr">
        <is>
          <t>1:40</t>
        </is>
      </c>
      <c r="G71" s="13" t="inlineStr">
        <is>
          <t>B3 foot</t>
        </is>
      </c>
      <c r="H71" s="13" t="inlineStr">
        <is>
          <t>Solid output shaft</t>
        </is>
      </c>
      <c r="I71" s="13" t="inlineStr">
        <is>
          <t>IEC motor adaptor/input</t>
        </is>
      </c>
      <c r="J71" s="13" t="n">
        <v>1</v>
      </c>
      <c r="K71" s="8" t="inlineStr">
        <is>
          <t>İRAP 73 i=41.66 + IEC 90 B5 input (code 155)</t>
        </is>
      </c>
      <c r="L71" s="9">
        <f>ROUND(639.0*(1-$O$3),2)</f>
        <v/>
      </c>
      <c r="M71" s="10">
        <f>J71*L71</f>
        <v/>
      </c>
      <c r="N71" s="11" t="n"/>
      <c r="O71" s="12" t="inlineStr">
        <is>
          <t>Quote reducer-only and complete gearmotor alternatives | Catalogue ratio i=41.66 (n2≈33 rpm), Sf 2.79 at 1.1 kW; Gearmotor alternative: İRAM 73 / 90 S 4a (not priced)</t>
        </is>
      </c>
    </row>
    <row r="72">
      <c r="A72" s="7" t="inlineStr">
        <is>
          <t>GB-067</t>
        </is>
      </c>
      <c r="B72" s="7" t="inlineStr">
        <is>
          <t>Helical Inline</t>
        </is>
      </c>
      <c r="C72" s="7" t="inlineStr">
        <is>
          <t>R / Equivalent</t>
        </is>
      </c>
      <c r="D72" s="7" t="inlineStr">
        <is>
          <t>Supplier selection</t>
        </is>
      </c>
      <c r="E72" s="7" t="n">
        <v>1.5</v>
      </c>
      <c r="F72" s="7" t="inlineStr">
        <is>
          <t>1:10</t>
        </is>
      </c>
      <c r="G72" s="7" t="inlineStr">
        <is>
          <t>B3 foot</t>
        </is>
      </c>
      <c r="H72" s="7" t="inlineStr">
        <is>
          <t>Solid output shaft</t>
        </is>
      </c>
      <c r="I72" s="7" t="inlineStr">
        <is>
          <t>IEC motor adaptor/input</t>
        </is>
      </c>
      <c r="J72" s="7" t="n">
        <v>2</v>
      </c>
      <c r="K72" s="8" t="inlineStr">
        <is>
          <t>İRAP 62 i=10.07 + IEC 90 B5 input (code 155)</t>
        </is>
      </c>
      <c r="L72" s="9">
        <f>ROUND(409.0*(1-$O$3),2)</f>
        <v/>
      </c>
      <c r="M72" s="10">
        <f>J72*L72</f>
        <v/>
      </c>
      <c r="N72" s="11" t="n"/>
      <c r="O72" s="12" t="inlineStr">
        <is>
          <t>Quote reducer-only and complete gearmotor alternatives | Catalogue ratio i=10.07 (n2≈138 rpm), Sf 3.81 at 1.5 kW; Gearmotor alternative: İRAM 62 / 90 L 4a (not priced)</t>
        </is>
      </c>
    </row>
    <row r="73">
      <c r="A73" s="13" t="inlineStr">
        <is>
          <t>GB-068</t>
        </is>
      </c>
      <c r="B73" s="13" t="inlineStr">
        <is>
          <t>Helical Inline</t>
        </is>
      </c>
      <c r="C73" s="13" t="inlineStr">
        <is>
          <t>R / Equivalent</t>
        </is>
      </c>
      <c r="D73" s="13" t="inlineStr">
        <is>
          <t>Supplier selection</t>
        </is>
      </c>
      <c r="E73" s="13" t="n">
        <v>1.5</v>
      </c>
      <c r="F73" s="13" t="inlineStr">
        <is>
          <t>1:20</t>
        </is>
      </c>
      <c r="G73" s="13" t="inlineStr">
        <is>
          <t>B3 foot</t>
        </is>
      </c>
      <c r="H73" s="13" t="inlineStr">
        <is>
          <t>Solid output shaft</t>
        </is>
      </c>
      <c r="I73" s="13" t="inlineStr">
        <is>
          <t>IEC motor adaptor/input</t>
        </is>
      </c>
      <c r="J73" s="13" t="n">
        <v>2</v>
      </c>
      <c r="K73" s="8" t="inlineStr">
        <is>
          <t>İRAP 63 i=20.53 + IEC 90 B5 input (code 155)</t>
        </is>
      </c>
      <c r="L73" s="9">
        <f>ROUND(422.0*(1-$O$3),2)</f>
        <v/>
      </c>
      <c r="M73" s="10">
        <f>J73*L73</f>
        <v/>
      </c>
      <c r="N73" s="11" t="n"/>
      <c r="O73" s="12" t="inlineStr">
        <is>
          <t>Quote reducer-only and complete gearmotor alternatives | Catalogue ratio i=20.53 (n2≈68 rpm), Sf 2.34 at 1.5 kW; Gearmotor alternative: İRAM 63 / 90 L 4a (not priced)</t>
        </is>
      </c>
    </row>
    <row r="74">
      <c r="A74" s="7" t="inlineStr">
        <is>
          <t>GB-069</t>
        </is>
      </c>
      <c r="B74" s="7" t="inlineStr">
        <is>
          <t>Helical Inline</t>
        </is>
      </c>
      <c r="C74" s="7" t="inlineStr">
        <is>
          <t>R / Equivalent</t>
        </is>
      </c>
      <c r="D74" s="7" t="inlineStr">
        <is>
          <t>Supplier selection</t>
        </is>
      </c>
      <c r="E74" s="7" t="n">
        <v>1.5</v>
      </c>
      <c r="F74" s="7" t="inlineStr">
        <is>
          <t>1:30</t>
        </is>
      </c>
      <c r="G74" s="7" t="inlineStr">
        <is>
          <t>B3 foot</t>
        </is>
      </c>
      <c r="H74" s="7" t="inlineStr">
        <is>
          <t>Solid output shaft</t>
        </is>
      </c>
      <c r="I74" s="7" t="inlineStr">
        <is>
          <t>IEC motor adaptor/input</t>
        </is>
      </c>
      <c r="J74" s="7" t="n">
        <v>1</v>
      </c>
      <c r="K74" s="8" t="inlineStr">
        <is>
          <t>İRAP 63 i=29.85 + IEC 90 B5 input (code 155)</t>
        </is>
      </c>
      <c r="L74" s="9">
        <f>ROUND(422.0*(1-$O$3),2)</f>
        <v/>
      </c>
      <c r="M74" s="10">
        <f>J74*L74</f>
        <v/>
      </c>
      <c r="N74" s="11" t="n"/>
      <c r="O74" s="12" t="inlineStr">
        <is>
          <t>Quote reducer-only and complete gearmotor alternatives | Catalogue ratio i=29.85 (n2≈46 rpm), Sf 1.61 at 1.5 kW; Gearmotor alternative: İRAM 63 / 90 L 4a (not priced)</t>
        </is>
      </c>
    </row>
    <row r="75">
      <c r="A75" s="13" t="inlineStr">
        <is>
          <t>GB-070</t>
        </is>
      </c>
      <c r="B75" s="13" t="inlineStr">
        <is>
          <t>Helical Inline</t>
        </is>
      </c>
      <c r="C75" s="13" t="inlineStr">
        <is>
          <t>R / Equivalent</t>
        </is>
      </c>
      <c r="D75" s="13" t="inlineStr">
        <is>
          <t>Supplier selection</t>
        </is>
      </c>
      <c r="E75" s="13" t="n">
        <v>1.5</v>
      </c>
      <c r="F75" s="13" t="inlineStr">
        <is>
          <t>1:40</t>
        </is>
      </c>
      <c r="G75" s="13" t="inlineStr">
        <is>
          <t>B3 foot</t>
        </is>
      </c>
      <c r="H75" s="13" t="inlineStr">
        <is>
          <t>Solid output shaft</t>
        </is>
      </c>
      <c r="I75" s="13" t="inlineStr">
        <is>
          <t>IEC motor adaptor/input</t>
        </is>
      </c>
      <c r="J75" s="13" t="n">
        <v>1</v>
      </c>
      <c r="K75" s="8" t="inlineStr">
        <is>
          <t>İRAP 73 i=41.66 + IEC 90 B5 input (code 155)</t>
        </is>
      </c>
      <c r="L75" s="9">
        <f>ROUND(639.0*(1-$O$3),2)</f>
        <v/>
      </c>
      <c r="M75" s="10">
        <f>J75*L75</f>
        <v/>
      </c>
      <c r="N75" s="11" t="n"/>
      <c r="O75" s="12" t="inlineStr">
        <is>
          <t>Quote reducer-only and complete gearmotor alternatives | Catalogue ratio i=41.66 (n2≈33 rpm), Sf 2.05 at 1.5 kW; Gearmotor alternative: İRAM 73 / 90 L 4a (not priced)</t>
        </is>
      </c>
    </row>
    <row r="76">
      <c r="A76" s="7" t="inlineStr">
        <is>
          <t>GB-071</t>
        </is>
      </c>
      <c r="B76" s="7" t="inlineStr">
        <is>
          <t>Helical Inline</t>
        </is>
      </c>
      <c r="C76" s="7" t="inlineStr">
        <is>
          <t>R / Equivalent</t>
        </is>
      </c>
      <c r="D76" s="7" t="inlineStr">
        <is>
          <t>Supplier selection</t>
        </is>
      </c>
      <c r="E76" s="7" t="n">
        <v>2.2</v>
      </c>
      <c r="F76" s="7" t="inlineStr">
        <is>
          <t>1:10</t>
        </is>
      </c>
      <c r="G76" s="7" t="inlineStr">
        <is>
          <t>B3 foot</t>
        </is>
      </c>
      <c r="H76" s="7" t="inlineStr">
        <is>
          <t>Solid output shaft</t>
        </is>
      </c>
      <c r="I76" s="7" t="inlineStr">
        <is>
          <t>IEC motor adaptor/input</t>
        </is>
      </c>
      <c r="J76" s="7" t="n">
        <v>1</v>
      </c>
      <c r="K76" s="8" t="inlineStr">
        <is>
          <t>İRAP 62 i=10.07 + IEC 100 B5 input (code 155)</t>
        </is>
      </c>
      <c r="L76" s="9">
        <f>ROUND(416.0*(1-$O$3),2)</f>
        <v/>
      </c>
      <c r="M76" s="10">
        <f>J76*L76</f>
        <v/>
      </c>
      <c r="N76" s="11" t="n"/>
      <c r="O76" s="12" t="inlineStr">
        <is>
          <t>Quote reducer-only and complete gearmotor alternatives | Catalogue ratio i=10.07 (n2≈138 rpm), Sf 2.6 at 2.2 kW; Gearmotor alternative: İRAM 62 / 100 L 4a (not priced)</t>
        </is>
      </c>
    </row>
    <row r="77">
      <c r="A77" s="13" t="inlineStr">
        <is>
          <t>GB-072</t>
        </is>
      </c>
      <c r="B77" s="13" t="inlineStr">
        <is>
          <t>Helical Inline</t>
        </is>
      </c>
      <c r="C77" s="13" t="inlineStr">
        <is>
          <t>R / Equivalent</t>
        </is>
      </c>
      <c r="D77" s="13" t="inlineStr">
        <is>
          <t>Supplier selection</t>
        </is>
      </c>
      <c r="E77" s="13" t="n">
        <v>2.2</v>
      </c>
      <c r="F77" s="13" t="inlineStr">
        <is>
          <t>1:15</t>
        </is>
      </c>
      <c r="G77" s="13" t="inlineStr">
        <is>
          <t>B3 foot</t>
        </is>
      </c>
      <c r="H77" s="13" t="inlineStr">
        <is>
          <t>Solid output shaft</t>
        </is>
      </c>
      <c r="I77" s="13" t="inlineStr">
        <is>
          <t>IEC motor adaptor/input</t>
        </is>
      </c>
      <c r="J77" s="13" t="n">
        <v>1</v>
      </c>
      <c r="K77" s="8" t="inlineStr">
        <is>
          <t>İRAP 63 i=15.59 + IEC 100 B5 input (code 155)</t>
        </is>
      </c>
      <c r="L77" s="9">
        <f>ROUND(429.0*(1-$O$3),2)</f>
        <v/>
      </c>
      <c r="M77" s="10">
        <f>J77*L77</f>
        <v/>
      </c>
      <c r="N77" s="11" t="n"/>
      <c r="O77" s="12" t="inlineStr">
        <is>
          <t>Quote reducer-only and complete gearmotor alternatives | Catalogue ratio i=15.59 (n2≈89 rpm), Sf 2.04 at 2.2 kW; Gearmotor alternative: İRAM 63 / 100 L 4a (not priced)</t>
        </is>
      </c>
    </row>
    <row r="78">
      <c r="A78" s="7" t="inlineStr">
        <is>
          <t>GB-073</t>
        </is>
      </c>
      <c r="B78" s="7" t="inlineStr">
        <is>
          <t>Helical Inline</t>
        </is>
      </c>
      <c r="C78" s="7" t="inlineStr">
        <is>
          <t>R / Equivalent</t>
        </is>
      </c>
      <c r="D78" s="7" t="inlineStr">
        <is>
          <t>Supplier selection</t>
        </is>
      </c>
      <c r="E78" s="7" t="n">
        <v>2.2</v>
      </c>
      <c r="F78" s="7" t="inlineStr">
        <is>
          <t>1:20</t>
        </is>
      </c>
      <c r="G78" s="7" t="inlineStr">
        <is>
          <t>B3 foot</t>
        </is>
      </c>
      <c r="H78" s="7" t="inlineStr">
        <is>
          <t>Solid output shaft</t>
        </is>
      </c>
      <c r="I78" s="7" t="inlineStr">
        <is>
          <t>IEC motor adaptor/input</t>
        </is>
      </c>
      <c r="J78" s="7" t="n">
        <v>1</v>
      </c>
      <c r="K78" s="8" t="inlineStr">
        <is>
          <t>İRAP 63 i=20.53 + IEC 100 B5 input (code 155)</t>
        </is>
      </c>
      <c r="L78" s="9">
        <f>ROUND(429.0*(1-$O$3),2)</f>
        <v/>
      </c>
      <c r="M78" s="10">
        <f>J78*L78</f>
        <v/>
      </c>
      <c r="N78" s="11" t="n"/>
      <c r="O78" s="12" t="inlineStr">
        <is>
          <t>Quote reducer-only and complete gearmotor alternatives | Catalogue ratio i=20.53 (n2≈68 rpm), Sf 1.6 at 2.2 kW; Gearmotor alternative: İRAM 63 / 100 L 4a (not priced)</t>
        </is>
      </c>
    </row>
    <row r="79">
      <c r="A79" s="13" t="inlineStr">
        <is>
          <t>GB-074</t>
        </is>
      </c>
      <c r="B79" s="13" t="inlineStr">
        <is>
          <t>Helical Inline</t>
        </is>
      </c>
      <c r="C79" s="13" t="inlineStr">
        <is>
          <t>R / Equivalent</t>
        </is>
      </c>
      <c r="D79" s="13" t="inlineStr">
        <is>
          <t>Supplier selection</t>
        </is>
      </c>
      <c r="E79" s="13" t="n">
        <v>2.2</v>
      </c>
      <c r="F79" s="13" t="inlineStr">
        <is>
          <t>1:30</t>
        </is>
      </c>
      <c r="G79" s="13" t="inlineStr">
        <is>
          <t>B3 foot</t>
        </is>
      </c>
      <c r="H79" s="13" t="inlineStr">
        <is>
          <t>Solid output shaft</t>
        </is>
      </c>
      <c r="I79" s="13" t="inlineStr">
        <is>
          <t>IEC motor adaptor/input</t>
        </is>
      </c>
      <c r="J79" s="13" t="n">
        <v>1</v>
      </c>
      <c r="K79" s="8" t="inlineStr">
        <is>
          <t>İRAP 73 i=31.16 + IEC 100 B5 input (code 155)</t>
        </is>
      </c>
      <c r="L79" s="9">
        <f>ROUND(656.0*(1-$O$3),2)</f>
        <v/>
      </c>
      <c r="M79" s="10">
        <f>J79*L79</f>
        <v/>
      </c>
      <c r="N79" s="11" t="n"/>
      <c r="O79" s="12" t="inlineStr">
        <is>
          <t>Quote reducer-only and complete gearmotor alternatives | Catalogue ratio i=31.16 (n2≈44 rpm), Sf 1.75 at 2.2 kW; Gearmotor alternative: İRAM 73 / 100 L 4a (not priced)</t>
        </is>
      </c>
    </row>
    <row r="80">
      <c r="A80" s="7" t="inlineStr">
        <is>
          <t>GB-075</t>
        </is>
      </c>
      <c r="B80" s="7" t="inlineStr">
        <is>
          <t>Helical Inline</t>
        </is>
      </c>
      <c r="C80" s="7" t="inlineStr">
        <is>
          <t>R / Equivalent</t>
        </is>
      </c>
      <c r="D80" s="7" t="inlineStr">
        <is>
          <t>Supplier selection</t>
        </is>
      </c>
      <c r="E80" s="7" t="n">
        <v>2.2</v>
      </c>
      <c r="F80" s="7" t="inlineStr">
        <is>
          <t>1:40</t>
        </is>
      </c>
      <c r="G80" s="7" t="inlineStr">
        <is>
          <t>B3 foot</t>
        </is>
      </c>
      <c r="H80" s="7" t="inlineStr">
        <is>
          <t>Solid output shaft</t>
        </is>
      </c>
      <c r="I80" s="7" t="inlineStr">
        <is>
          <t>IEC motor adaptor/input</t>
        </is>
      </c>
      <c r="J80" s="7" t="n">
        <v>1</v>
      </c>
      <c r="K80" s="8" t="inlineStr">
        <is>
          <t>İRAP 83 i=41.22 + IEC 100 B5 input (code 155)</t>
        </is>
      </c>
      <c r="L80" s="9">
        <f>ROUND(1071.0*(1-$O$3),2)</f>
        <v/>
      </c>
      <c r="M80" s="10">
        <f>J80*L80</f>
        <v/>
      </c>
      <c r="N80" s="11" t="n"/>
      <c r="O80" s="12" t="inlineStr">
        <is>
          <t>Quote reducer-only and complete gearmotor alternatives | Catalogue ratio i=41.22 (n2≈33 rpm), Sf 2.45 at 2.2 kW; Gearmotor alternative: İRAM 83 / 100 L 4a (not priced)</t>
        </is>
      </c>
    </row>
    <row r="81">
      <c r="A81" s="13" t="inlineStr">
        <is>
          <t>GB-076</t>
        </is>
      </c>
      <c r="B81" s="13" t="inlineStr">
        <is>
          <t>Helical Inline</t>
        </is>
      </c>
      <c r="C81" s="13" t="inlineStr">
        <is>
          <t>R / Equivalent</t>
        </is>
      </c>
      <c r="D81" s="13" t="inlineStr">
        <is>
          <t>Supplier selection</t>
        </is>
      </c>
      <c r="E81" s="13" t="n">
        <v>3</v>
      </c>
      <c r="F81" s="13" t="inlineStr">
        <is>
          <t>1:10</t>
        </is>
      </c>
      <c r="G81" s="13" t="inlineStr">
        <is>
          <t>B5 flange</t>
        </is>
      </c>
      <c r="H81" s="13" t="inlineStr">
        <is>
          <t>Solid output shaft</t>
        </is>
      </c>
      <c r="I81" s="13" t="inlineStr">
        <is>
          <t>IEC motor adaptor/input</t>
        </is>
      </c>
      <c r="J81" s="13" t="n">
        <v>1</v>
      </c>
      <c r="K81" s="8" t="inlineStr">
        <is>
          <t>İRFP 62 i=10.07 + IEC 100 B5 input (code 155)</t>
        </is>
      </c>
      <c r="L81" s="9">
        <f>ROUND(457.0*(1-$O$3),2)</f>
        <v/>
      </c>
      <c r="M81" s="10">
        <f>J81*L81</f>
        <v/>
      </c>
      <c r="N81" s="11" t="n"/>
      <c r="O81" s="12" t="inlineStr">
        <is>
          <t>Quote reducer-only and complete gearmotor alternatives | Catalogue ratio i=10.07 (n2≈138 rpm), Sf 1.9 at 3 kW; Gearmotor alternative: İRFM 62 / 100 L 4b (not priced)</t>
        </is>
      </c>
    </row>
    <row r="82">
      <c r="A82" s="7" t="inlineStr">
        <is>
          <t>GB-077</t>
        </is>
      </c>
      <c r="B82" s="7" t="inlineStr">
        <is>
          <t>Helical Inline</t>
        </is>
      </c>
      <c r="C82" s="7" t="inlineStr">
        <is>
          <t>R / Equivalent</t>
        </is>
      </c>
      <c r="D82" s="7" t="inlineStr">
        <is>
          <t>Supplier selection</t>
        </is>
      </c>
      <c r="E82" s="7" t="n">
        <v>3</v>
      </c>
      <c r="F82" s="7" t="inlineStr">
        <is>
          <t>1:20</t>
        </is>
      </c>
      <c r="G82" s="7" t="inlineStr">
        <is>
          <t>B5 flange</t>
        </is>
      </c>
      <c r="H82" s="7" t="inlineStr">
        <is>
          <t>Solid output shaft</t>
        </is>
      </c>
      <c r="I82" s="7" t="inlineStr">
        <is>
          <t>IEC motor adaptor/input</t>
        </is>
      </c>
      <c r="J82" s="7" t="n">
        <v>1</v>
      </c>
      <c r="K82" s="8" t="inlineStr">
        <is>
          <t>İRFP 73 i=20.29 + IEC 100 B5 input (code 155)</t>
        </is>
      </c>
      <c r="L82" s="9">
        <f>ROUND(721.0*(1-$O$3),2)</f>
        <v/>
      </c>
      <c r="M82" s="10">
        <f>J82*L82</f>
        <v/>
      </c>
      <c r="N82" s="11" t="n"/>
      <c r="O82" s="12" t="inlineStr">
        <is>
          <t>Quote reducer-only and complete gearmotor alternatives | Catalogue ratio i=20.29 (n2≈68 rpm), Sf 2.01 at 3 kW; Gearmotor alternative: İRFM 73 / 100 L 4b (not priced)</t>
        </is>
      </c>
    </row>
    <row r="83">
      <c r="A83" s="13" t="inlineStr">
        <is>
          <t>GB-078</t>
        </is>
      </c>
      <c r="B83" s="13" t="inlineStr">
        <is>
          <t>Helical Inline</t>
        </is>
      </c>
      <c r="C83" s="13" t="inlineStr">
        <is>
          <t>R / Equivalent</t>
        </is>
      </c>
      <c r="D83" s="13" t="inlineStr">
        <is>
          <t>Supplier selection</t>
        </is>
      </c>
      <c r="E83" s="13" t="n">
        <v>3</v>
      </c>
      <c r="F83" s="13" t="inlineStr">
        <is>
          <t>1:30</t>
        </is>
      </c>
      <c r="G83" s="13" t="inlineStr">
        <is>
          <t>B5 flange</t>
        </is>
      </c>
      <c r="H83" s="13" t="inlineStr">
        <is>
          <t>Solid output shaft</t>
        </is>
      </c>
      <c r="I83" s="13" t="inlineStr">
        <is>
          <t>IEC motor adaptor/input</t>
        </is>
      </c>
      <c r="J83" s="13" t="n">
        <v>1</v>
      </c>
      <c r="K83" s="8" t="inlineStr">
        <is>
          <t>İRFP 83 i=30.08 + IEC 100 B5 input (code 155)</t>
        </is>
      </c>
      <c r="L83" s="9">
        <f>ROUND(1178.0*(1-$O$3),2)</f>
        <v/>
      </c>
      <c r="M83" s="10">
        <f>J83*L83</f>
        <v/>
      </c>
      <c r="N83" s="11" t="n"/>
      <c r="O83" s="12" t="inlineStr">
        <is>
          <t>Quote reducer-only and complete gearmotor alternatives | Catalogue ratio i=30.08 (n2≈46 rpm), Sf 2.55 at 3 kW; Gearmotor alternative: İRFM 83 / 100 L 4b (not priced)</t>
        </is>
      </c>
    </row>
    <row r="84">
      <c r="A84" s="7" t="inlineStr">
        <is>
          <t>GB-079</t>
        </is>
      </c>
      <c r="B84" s="7" t="inlineStr">
        <is>
          <t>Helical Inline</t>
        </is>
      </c>
      <c r="C84" s="7" t="inlineStr">
        <is>
          <t>R / Equivalent</t>
        </is>
      </c>
      <c r="D84" s="7" t="inlineStr">
        <is>
          <t>Supplier selection</t>
        </is>
      </c>
      <c r="E84" s="7" t="n">
        <v>3</v>
      </c>
      <c r="F84" s="7" t="inlineStr">
        <is>
          <t>1:40</t>
        </is>
      </c>
      <c r="G84" s="7" t="inlineStr">
        <is>
          <t>B5 flange</t>
        </is>
      </c>
      <c r="H84" s="7" t="inlineStr">
        <is>
          <t>Solid output shaft</t>
        </is>
      </c>
      <c r="I84" s="7" t="inlineStr">
        <is>
          <t>IEC motor adaptor/input</t>
        </is>
      </c>
      <c r="J84" s="7" t="n">
        <v>1</v>
      </c>
      <c r="K84" s="8" t="inlineStr">
        <is>
          <t>İRFP 83 i=41.22 + IEC 100 B5 input (code 155)</t>
        </is>
      </c>
      <c r="L84" s="9">
        <f>ROUND(1178.0*(1-$O$3),2)</f>
        <v/>
      </c>
      <c r="M84" s="10">
        <f>J84*L84</f>
        <v/>
      </c>
      <c r="N84" s="11" t="n"/>
      <c r="O84" s="12" t="inlineStr">
        <is>
          <t>Quote reducer-only and complete gearmotor alternatives | Catalogue ratio i=41.22 (n2≈33 rpm), Sf 1.8 at 3 kW; Gearmotor alternative: İRFM 83 / 100 L 4b (not priced)</t>
        </is>
      </c>
    </row>
    <row r="85">
      <c r="A85" s="13" t="inlineStr">
        <is>
          <t>GB-080</t>
        </is>
      </c>
      <c r="B85" s="13" t="inlineStr">
        <is>
          <t>Helical Inline</t>
        </is>
      </c>
      <c r="C85" s="13" t="inlineStr">
        <is>
          <t>R / Equivalent</t>
        </is>
      </c>
      <c r="D85" s="13" t="inlineStr">
        <is>
          <t>Supplier selection</t>
        </is>
      </c>
      <c r="E85" s="13" t="n">
        <v>4</v>
      </c>
      <c r="F85" s="13" t="inlineStr">
        <is>
          <t>1:10</t>
        </is>
      </c>
      <c r="G85" s="13" t="inlineStr">
        <is>
          <t>B5 flange</t>
        </is>
      </c>
      <c r="H85" s="13" t="inlineStr">
        <is>
          <t>Solid output shaft</t>
        </is>
      </c>
      <c r="I85" s="13" t="inlineStr">
        <is>
          <t>IEC motor adaptor/input</t>
        </is>
      </c>
      <c r="J85" s="13" t="n">
        <v>1</v>
      </c>
      <c r="K85" s="8" t="inlineStr">
        <is>
          <t>İRFP 721 i=9.866 + IEC 112 B5 input (code 155)</t>
        </is>
      </c>
      <c r="L85" s="9">
        <f>ROUND(627.0*(1-$O$3),2)</f>
        <v/>
      </c>
      <c r="M85" s="10">
        <f>J85*L85</f>
        <v/>
      </c>
      <c r="N85" s="11" t="n"/>
      <c r="O85" s="12" t="inlineStr">
        <is>
          <t>Quote reducer-only and complete gearmotor alternatives | Catalogue ratio i=9.866 (n2≈141 rpm), Sf 1.8 at 4 kW; Gearmotor alternative: İRFM 721 / 112 M 4b (not priced)</t>
        </is>
      </c>
    </row>
    <row r="86">
      <c r="A86" s="7" t="inlineStr">
        <is>
          <t>GB-081</t>
        </is>
      </c>
      <c r="B86" s="7" t="inlineStr">
        <is>
          <t>Helical Inline</t>
        </is>
      </c>
      <c r="C86" s="7" t="inlineStr">
        <is>
          <t>R / Equivalent</t>
        </is>
      </c>
      <c r="D86" s="7" t="inlineStr">
        <is>
          <t>Supplier selection</t>
        </is>
      </c>
      <c r="E86" s="7" t="n">
        <v>4</v>
      </c>
      <c r="F86" s="7" t="inlineStr">
        <is>
          <t>1:20</t>
        </is>
      </c>
      <c r="G86" s="7" t="inlineStr">
        <is>
          <t>B5 flange</t>
        </is>
      </c>
      <c r="H86" s="7" t="inlineStr">
        <is>
          <t>Solid output shaft</t>
        </is>
      </c>
      <c r="I86" s="7" t="inlineStr">
        <is>
          <t>IEC motor adaptor/input</t>
        </is>
      </c>
      <c r="J86" s="7" t="n">
        <v>1</v>
      </c>
      <c r="K86" s="8" t="inlineStr">
        <is>
          <t>İRFP 73 i=20.29 + IEC 112 B5 input (code 155)</t>
        </is>
      </c>
      <c r="L86" s="9">
        <f>ROUND(721.0*(1-$O$3),2)</f>
        <v/>
      </c>
      <c r="M86" s="10">
        <f>J86*L86</f>
        <v/>
      </c>
      <c r="N86" s="11" t="n"/>
      <c r="O86" s="12" t="inlineStr">
        <is>
          <t>Quote reducer-only and complete gearmotor alternatives | Catalogue ratio i=20.29 (n2≈68 rpm), Sf 1.51 at 4 kW; Gearmotor alternative: İRFM 73 / 112 M 4b (not priced)</t>
        </is>
      </c>
    </row>
    <row r="87">
      <c r="A87" s="13" t="inlineStr">
        <is>
          <t>GB-082</t>
        </is>
      </c>
      <c r="B87" s="13" t="inlineStr">
        <is>
          <t>Helical Inline</t>
        </is>
      </c>
      <c r="C87" s="13" t="inlineStr">
        <is>
          <t>R / Equivalent</t>
        </is>
      </c>
      <c r="D87" s="13" t="inlineStr">
        <is>
          <t>Supplier selection</t>
        </is>
      </c>
      <c r="E87" s="13" t="n">
        <v>4</v>
      </c>
      <c r="F87" s="13" t="inlineStr">
        <is>
          <t>1:30</t>
        </is>
      </c>
      <c r="G87" s="13" t="inlineStr">
        <is>
          <t>B5 flange</t>
        </is>
      </c>
      <c r="H87" s="13" t="inlineStr">
        <is>
          <t>Solid output shaft</t>
        </is>
      </c>
      <c r="I87" s="13" t="inlineStr">
        <is>
          <t>IEC motor adaptor/input</t>
        </is>
      </c>
      <c r="J87" s="13" t="n">
        <v>1</v>
      </c>
      <c r="K87" s="8" t="inlineStr">
        <is>
          <t>İRFP 83 i=30.08 + IEC 112 B5 input (code 155)</t>
        </is>
      </c>
      <c r="L87" s="9">
        <f>ROUND(1178.0*(1-$O$3),2)</f>
        <v/>
      </c>
      <c r="M87" s="10">
        <f>J87*L87</f>
        <v/>
      </c>
      <c r="N87" s="11" t="n"/>
      <c r="O87" s="12" t="inlineStr">
        <is>
          <t>Quote reducer-only and complete gearmotor alternatives | Catalogue ratio i=30.08 (n2≈46 rpm), Sf 1.91 at 4 kW; Gearmotor alternative: İRFM 83 / 112 M 4b (not priced)</t>
        </is>
      </c>
    </row>
    <row r="88">
      <c r="A88" s="7" t="inlineStr">
        <is>
          <t>GB-083</t>
        </is>
      </c>
      <c r="B88" s="7" t="inlineStr">
        <is>
          <t>Helical Inline</t>
        </is>
      </c>
      <c r="C88" s="7" t="inlineStr">
        <is>
          <t>R / Equivalent</t>
        </is>
      </c>
      <c r="D88" s="7" t="inlineStr">
        <is>
          <t>Supplier selection</t>
        </is>
      </c>
      <c r="E88" s="7" t="n">
        <v>5.5</v>
      </c>
      <c r="F88" s="7" t="inlineStr">
        <is>
          <t>1:10</t>
        </is>
      </c>
      <c r="G88" s="7" t="inlineStr">
        <is>
          <t>B5 flange</t>
        </is>
      </c>
      <c r="H88" s="7" t="inlineStr">
        <is>
          <t>Solid output shaft</t>
        </is>
      </c>
      <c r="I88" s="7" t="inlineStr">
        <is>
          <t>IEC motor adaptor/input</t>
        </is>
      </c>
      <c r="J88" s="7" t="n">
        <v>1</v>
      </c>
      <c r="K88" s="8" t="inlineStr">
        <is>
          <t>İRFP 82 i=9.689 + IEC 132 B5 input (code 155)</t>
        </is>
      </c>
      <c r="L88" s="9">
        <f>ROUND(1168.0*(1-$O$3),2)</f>
        <v/>
      </c>
      <c r="M88" s="10">
        <f>J88*L88</f>
        <v/>
      </c>
      <c r="N88" s="11" t="n"/>
      <c r="O88" s="12" t="inlineStr">
        <is>
          <t>Quote reducer-only and complete gearmotor alternatives | Catalogue ratio i=9.689 (n2≈144 rpm), Sf 3.38 at 5.5 kW; Gearmotor alternative: İRFM 82 / 132 S 4a (not priced)</t>
        </is>
      </c>
    </row>
    <row r="89">
      <c r="A89" s="13" t="inlineStr">
        <is>
          <t>GB-084</t>
        </is>
      </c>
      <c r="B89" s="13" t="inlineStr">
        <is>
          <t>Helical Inline</t>
        </is>
      </c>
      <c r="C89" s="13" t="inlineStr">
        <is>
          <t>R / Equivalent</t>
        </is>
      </c>
      <c r="D89" s="13" t="inlineStr">
        <is>
          <t>Supplier selection</t>
        </is>
      </c>
      <c r="E89" s="13" t="n">
        <v>5.5</v>
      </c>
      <c r="F89" s="13" t="inlineStr">
        <is>
          <t>1:20</t>
        </is>
      </c>
      <c r="G89" s="13" t="inlineStr">
        <is>
          <t>B5 flange</t>
        </is>
      </c>
      <c r="H89" s="13" t="inlineStr">
        <is>
          <t>Solid output shaft</t>
        </is>
      </c>
      <c r="I89" s="13" t="inlineStr">
        <is>
          <t>IEC motor adaptor/input</t>
        </is>
      </c>
      <c r="J89" s="13" t="n">
        <v>1</v>
      </c>
      <c r="K89" s="8" t="inlineStr">
        <is>
          <t>İRFP 83 i=20.26 + IEC 132 B5 input (code 155)</t>
        </is>
      </c>
      <c r="L89" s="9">
        <f>ROUND(1194.0*(1-$O$3),2)</f>
        <v/>
      </c>
      <c r="M89" s="10">
        <f>J89*L89</f>
        <v/>
      </c>
      <c r="N89" s="11" t="n"/>
      <c r="O89" s="12" t="inlineStr">
        <is>
          <t>Quote reducer-only and complete gearmotor alternatives | Catalogue ratio i=20.26 (n2≈69 rpm), Sf 2.0 at 5.5 kW; Gearmotor alternative: İRFM 83 / 132 S 4a (not priced)</t>
        </is>
      </c>
    </row>
    <row r="90">
      <c r="A90" s="7" t="inlineStr">
        <is>
          <t>GB-085</t>
        </is>
      </c>
      <c r="B90" s="7" t="inlineStr">
        <is>
          <t>Helical Inline</t>
        </is>
      </c>
      <c r="C90" s="7" t="inlineStr">
        <is>
          <t>R / Equivalent</t>
        </is>
      </c>
      <c r="D90" s="7" t="inlineStr">
        <is>
          <t>Supplier selection</t>
        </is>
      </c>
      <c r="E90" s="7" t="n">
        <v>5.5</v>
      </c>
      <c r="F90" s="7" t="inlineStr">
        <is>
          <t>1:30</t>
        </is>
      </c>
      <c r="G90" s="7" t="inlineStr">
        <is>
          <t>B5 flange</t>
        </is>
      </c>
      <c r="H90" s="7" t="inlineStr">
        <is>
          <t>Solid output shaft</t>
        </is>
      </c>
      <c r="I90" s="7" t="inlineStr">
        <is>
          <t>IEC motor adaptor/input</t>
        </is>
      </c>
      <c r="J90" s="7" t="n">
        <v>1</v>
      </c>
      <c r="K90" s="8" t="inlineStr">
        <is>
          <t>İRFP 93 i=29.52 + IEC 132 B5 input (code 155)</t>
        </is>
      </c>
      <c r="L90" s="9">
        <f>ROUND(1551.0*(1-$O$3),2)</f>
        <v/>
      </c>
      <c r="M90" s="10">
        <f>J90*L90</f>
        <v/>
      </c>
      <c r="N90" s="11" t="n"/>
      <c r="O90" s="12" t="inlineStr">
        <is>
          <t>Quote reducer-only and complete gearmotor alternatives | Catalogue ratio i=29.52 (n2≈47 rpm), Sf 2.62 at 5.5 kW; Gearmotor alternative: İRFM 93 / 132 S 4a (not priced)</t>
        </is>
      </c>
    </row>
    <row r="91">
      <c r="A91" s="13" t="inlineStr">
        <is>
          <t>GB-086</t>
        </is>
      </c>
      <c r="B91" s="13" t="inlineStr">
        <is>
          <t>Helical Inline</t>
        </is>
      </c>
      <c r="C91" s="13" t="inlineStr">
        <is>
          <t>R / Equivalent</t>
        </is>
      </c>
      <c r="D91" s="13" t="inlineStr">
        <is>
          <t>Supplier selection</t>
        </is>
      </c>
      <c r="E91" s="13" t="n">
        <v>7.5</v>
      </c>
      <c r="F91" s="13" t="inlineStr">
        <is>
          <t>1:10</t>
        </is>
      </c>
      <c r="G91" s="13" t="inlineStr">
        <is>
          <t>B5 flange</t>
        </is>
      </c>
      <c r="H91" s="13" t="inlineStr">
        <is>
          <t>Solid output shaft</t>
        </is>
      </c>
      <c r="I91" s="13" t="inlineStr">
        <is>
          <t>IEC motor adaptor/input</t>
        </is>
      </c>
      <c r="J91" s="13" t="n">
        <v>1</v>
      </c>
      <c r="K91" s="8" t="inlineStr">
        <is>
          <t>İRFP 82 i=9.689 + IEC 132 B5 input (code 155)</t>
        </is>
      </c>
      <c r="L91" s="9">
        <f>ROUND(1168.0*(1-$O$3),2)</f>
        <v/>
      </c>
      <c r="M91" s="10">
        <f>J91*L91</f>
        <v/>
      </c>
      <c r="N91" s="11" t="n"/>
      <c r="O91" s="12" t="inlineStr">
        <is>
          <t>Quote reducer-only and complete gearmotor alternatives | Catalogue ratio i=9.689 (n2≈144 rpm), Sf 2.48 at 7.5 kW; Gearmotor alternative: İRFM 82 / 132 M 4a (not priced)</t>
        </is>
      </c>
    </row>
    <row r="92">
      <c r="A92" s="7" t="inlineStr">
        <is>
          <t>GB-087</t>
        </is>
      </c>
      <c r="B92" s="7" t="inlineStr">
        <is>
          <t>Helical Inline</t>
        </is>
      </c>
      <c r="C92" s="7" t="inlineStr">
        <is>
          <t>R / Equivalent</t>
        </is>
      </c>
      <c r="D92" s="7" t="inlineStr">
        <is>
          <t>Supplier selection</t>
        </is>
      </c>
      <c r="E92" s="7" t="n">
        <v>7.5</v>
      </c>
      <c r="F92" s="7" t="inlineStr">
        <is>
          <t>1:20</t>
        </is>
      </c>
      <c r="G92" s="7" t="inlineStr">
        <is>
          <t>B5 flange</t>
        </is>
      </c>
      <c r="H92" s="7" t="inlineStr">
        <is>
          <t>Solid output shaft</t>
        </is>
      </c>
      <c r="I92" s="7" t="inlineStr">
        <is>
          <t>IEC motor adaptor/input</t>
        </is>
      </c>
      <c r="J92" s="7" t="n">
        <v>1</v>
      </c>
      <c r="K92" s="8" t="inlineStr">
        <is>
          <t>İRFP 92 i=20.6 + IEC 132 B5 input (code 155)</t>
        </is>
      </c>
      <c r="L92" s="9">
        <f>ROUND(1502.0*(1-$O$3),2)</f>
        <v/>
      </c>
      <c r="M92" s="10">
        <f>J92*L92</f>
        <v/>
      </c>
      <c r="N92" s="11" t="n"/>
      <c r="O92" s="12" t="inlineStr">
        <is>
          <t>Quote reducer-only and complete gearmotor alternatives | Catalogue ratio i=20.6 (n2≈67 rpm), Sf 2.4 at 7.5 kW; Gearmotor alternative: İRFM 92 / 132 M 4a (not priced)</t>
        </is>
      </c>
    </row>
    <row r="93">
      <c r="A93" s="13" t="inlineStr">
        <is>
          <t>GB-088</t>
        </is>
      </c>
      <c r="B93" s="13" t="inlineStr">
        <is>
          <t>Helical Inline</t>
        </is>
      </c>
      <c r="C93" s="13" t="inlineStr">
        <is>
          <t>R / Equivalent</t>
        </is>
      </c>
      <c r="D93" s="13" t="inlineStr">
        <is>
          <t>Supplier selection</t>
        </is>
      </c>
      <c r="E93" s="13" t="n">
        <v>11</v>
      </c>
      <c r="F93" s="13" t="inlineStr">
        <is>
          <t>1:10</t>
        </is>
      </c>
      <c r="G93" s="13" t="inlineStr">
        <is>
          <t>B5 flange</t>
        </is>
      </c>
      <c r="H93" s="13" t="inlineStr">
        <is>
          <t>Solid output shaft</t>
        </is>
      </c>
      <c r="I93" s="13" t="inlineStr">
        <is>
          <t>IEC motor adaptor/input</t>
        </is>
      </c>
      <c r="J93" s="13" t="n">
        <v>1</v>
      </c>
      <c r="K93" s="8" t="inlineStr">
        <is>
          <t>İRFP 82 i=9.689 + IEC 160 B5 input (code 155)</t>
        </is>
      </c>
      <c r="L93" s="9">
        <f>ROUND(1227.0*(1-$O$3),2)</f>
        <v/>
      </c>
      <c r="M93" s="10">
        <f>J93*L93</f>
        <v/>
      </c>
      <c r="N93" s="11" t="n"/>
      <c r="O93" s="12" t="inlineStr">
        <is>
          <t>Quote reducer-only and complete gearmotor alternatives | Catalogue ratio i=9.689 (n2≈144 rpm), Sf 1.69 at 11 kW; Gearmotor alternative: İRFM 82 / 160 M 4a (not priced)</t>
        </is>
      </c>
    </row>
    <row r="94">
      <c r="A94" s="7" t="inlineStr">
        <is>
          <t>GB-089</t>
        </is>
      </c>
      <c r="B94" s="7" t="inlineStr">
        <is>
          <t>Helical Inline</t>
        </is>
      </c>
      <c r="C94" s="7" t="inlineStr">
        <is>
          <t>R / Equivalent</t>
        </is>
      </c>
      <c r="D94" s="7" t="inlineStr">
        <is>
          <t>Supplier selection</t>
        </is>
      </c>
      <c r="E94" s="7" t="n">
        <v>11</v>
      </c>
      <c r="F94" s="7" t="inlineStr">
        <is>
          <t>1:20</t>
        </is>
      </c>
      <c r="G94" s="7" t="inlineStr">
        <is>
          <t>B5 flange</t>
        </is>
      </c>
      <c r="H94" s="7" t="inlineStr">
        <is>
          <t>Solid output shaft</t>
        </is>
      </c>
      <c r="I94" s="7" t="inlineStr">
        <is>
          <t>IEC motor adaptor/input</t>
        </is>
      </c>
      <c r="J94" s="7" t="n">
        <v>1</v>
      </c>
      <c r="K94" s="8" t="inlineStr">
        <is>
          <t>İRFP 92 i=20.6 + IEC 160 B5 input (code 155)</t>
        </is>
      </c>
      <c r="L94" s="9">
        <f>ROUND(1597.0*(1-$O$3),2)</f>
        <v/>
      </c>
      <c r="M94" s="10">
        <f>J94*L94</f>
        <v/>
      </c>
      <c r="N94" s="11" t="n"/>
      <c r="O94" s="12" t="inlineStr">
        <is>
          <t>Quote reducer-only and complete gearmotor alternatives | Catalogue ratio i=20.6 (n2≈67 rpm), Sf 1.64 at 11 kW; Gearmotor alternative: İRFM 92 / 160 M 4a (not priced)</t>
        </is>
      </c>
    </row>
    <row r="95">
      <c r="A95" s="13" t="inlineStr">
        <is>
          <t>GB-090</t>
        </is>
      </c>
      <c r="B95" s="13" t="inlineStr">
        <is>
          <t>Helical Inline</t>
        </is>
      </c>
      <c r="C95" s="13" t="inlineStr">
        <is>
          <t>R / Equivalent</t>
        </is>
      </c>
      <c r="D95" s="13" t="inlineStr">
        <is>
          <t>Supplier selection</t>
        </is>
      </c>
      <c r="E95" s="13" t="n">
        <v>15</v>
      </c>
      <c r="F95" s="13" t="inlineStr">
        <is>
          <t>1:20</t>
        </is>
      </c>
      <c r="G95" s="13" t="inlineStr">
        <is>
          <t>B5 flange</t>
        </is>
      </c>
      <c r="H95" s="13" t="inlineStr">
        <is>
          <t>Solid output shaft</t>
        </is>
      </c>
      <c r="I95" s="13" t="inlineStr">
        <is>
          <t>IEC motor adaptor/input</t>
        </is>
      </c>
      <c r="J95" s="13" t="n">
        <v>1</v>
      </c>
      <c r="K95" s="8" t="inlineStr">
        <is>
          <t>İRFP 103 i=20.31 + IEC 160 B5 input (code 155)</t>
        </is>
      </c>
      <c r="L95" s="9">
        <f>ROUND(2225.0*(1-$O$3),2)</f>
        <v/>
      </c>
      <c r="M95" s="10">
        <f>J95*L95</f>
        <v/>
      </c>
      <c r="N95" s="11" t="n"/>
      <c r="O95" s="12" t="inlineStr">
        <is>
          <t>Quote reducer-only and complete gearmotor alternatives | Catalogue ratio i=20.31 (n2≈68 rpm), Sf 2.1 at 15 kW; Gearmotor alternative: İRFM 103 / 160 L 4a (not priced)</t>
        </is>
      </c>
    </row>
    <row r="96">
      <c r="A96" s="7" t="inlineStr">
        <is>
          <t>GB-091</t>
        </is>
      </c>
      <c r="B96" s="7" t="inlineStr">
        <is>
          <t>Helical Bevel</t>
        </is>
      </c>
      <c r="C96" s="7" t="inlineStr">
        <is>
          <t>K / Equivalent</t>
        </is>
      </c>
      <c r="D96" s="7" t="inlineStr">
        <is>
          <t>Supplier selection</t>
        </is>
      </c>
      <c r="E96" s="7" t="n">
        <v>0.75</v>
      </c>
      <c r="F96" s="7" t="inlineStr">
        <is>
          <t>1:10</t>
        </is>
      </c>
      <c r="G96" s="7" t="inlineStr">
        <is>
          <t>Torque-arm / universal</t>
        </is>
      </c>
      <c r="H96" s="7" t="inlineStr">
        <is>
          <t>Hollow shaft, keyed</t>
        </is>
      </c>
      <c r="I96" s="7" t="inlineStr">
        <is>
          <t>IEC motor adaptor/input</t>
        </is>
      </c>
      <c r="J96" s="7" t="n">
        <v>1</v>
      </c>
      <c r="K96" s="8" t="inlineStr">
        <is>
          <t>İRKP 63-TR i=10.44 + IEC 80 B5</t>
        </is>
      </c>
      <c r="L96" s="9">
        <f>ROUND(532.0*(1-$O$3),2)</f>
        <v/>
      </c>
      <c r="M96" s="10">
        <f>J96*L96</f>
        <v/>
      </c>
      <c r="N96" s="11" t="n"/>
      <c r="O96" s="12" t="inlineStr">
        <is>
          <t>Include torque arm | Catalogue ratio i=10.44 (n2≈134 rpm), Sf 5.4 at 0.75 kW; Torque arm included in unit price | Options (list → net): Shrink disc €68.00 → €44.20</t>
        </is>
      </c>
    </row>
    <row r="97">
      <c r="A97" s="13" t="inlineStr">
        <is>
          <t>GB-092</t>
        </is>
      </c>
      <c r="B97" s="13" t="inlineStr">
        <is>
          <t>Helical Bevel</t>
        </is>
      </c>
      <c r="C97" s="13" t="inlineStr">
        <is>
          <t>K / Equivalent</t>
        </is>
      </c>
      <c r="D97" s="13" t="inlineStr">
        <is>
          <t>Supplier selection</t>
        </is>
      </c>
      <c r="E97" s="13" t="n">
        <v>0.75</v>
      </c>
      <c r="F97" s="13" t="inlineStr">
        <is>
          <t>1:15</t>
        </is>
      </c>
      <c r="G97" s="13" t="inlineStr">
        <is>
          <t>Torque-arm / universal</t>
        </is>
      </c>
      <c r="H97" s="13" t="inlineStr">
        <is>
          <t>Hollow shaft, keyed</t>
        </is>
      </c>
      <c r="I97" s="13" t="inlineStr">
        <is>
          <t>IEC motor adaptor/input</t>
        </is>
      </c>
      <c r="J97" s="13" t="n">
        <v>1</v>
      </c>
      <c r="K97" s="8" t="inlineStr">
        <is>
          <t>İRKP 42-TR i=14.25 + IEC 80 B5</t>
        </is>
      </c>
      <c r="L97" s="9">
        <f>ROUND(393.0*(1-$O$3),2)</f>
        <v/>
      </c>
      <c r="M97" s="10">
        <f>J97*L97</f>
        <v/>
      </c>
      <c r="N97" s="11" t="n"/>
      <c r="O97" s="12" t="inlineStr">
        <is>
          <t>Include torque arm | Catalogue ratio i=14.25 (n2≈98 rpm), Sf 2.9 at 0.75 kW; Torque arm included in unit price | Options (list → net): Shrink disc €54.00 → €35.10</t>
        </is>
      </c>
    </row>
    <row r="98">
      <c r="A98" s="7" t="inlineStr">
        <is>
          <t>GB-093</t>
        </is>
      </c>
      <c r="B98" s="7" t="inlineStr">
        <is>
          <t>Helical Bevel</t>
        </is>
      </c>
      <c r="C98" s="7" t="inlineStr">
        <is>
          <t>K / Equivalent</t>
        </is>
      </c>
      <c r="D98" s="7" t="inlineStr">
        <is>
          <t>Supplier selection</t>
        </is>
      </c>
      <c r="E98" s="7" t="n">
        <v>0.75</v>
      </c>
      <c r="F98" s="7" t="inlineStr">
        <is>
          <t>1:20</t>
        </is>
      </c>
      <c r="G98" s="7" t="inlineStr">
        <is>
          <t>Torque-arm / universal</t>
        </is>
      </c>
      <c r="H98" s="7" t="inlineStr">
        <is>
          <t>Hollow shaft, keyed</t>
        </is>
      </c>
      <c r="I98" s="7" t="inlineStr">
        <is>
          <t>IEC motor adaptor/input</t>
        </is>
      </c>
      <c r="J98" s="7" t="n">
        <v>1</v>
      </c>
      <c r="K98" s="8" t="inlineStr">
        <is>
          <t>İRKP 43-TR i=19.83 + IEC 80 B5</t>
        </is>
      </c>
      <c r="L98" s="9">
        <f>ROUND(408.0*(1-$O$3),2)</f>
        <v/>
      </c>
      <c r="M98" s="10">
        <f>J98*L98</f>
        <v/>
      </c>
      <c r="N98" s="11" t="n"/>
      <c r="O98" s="12" t="inlineStr">
        <is>
          <t>Include torque arm | Catalogue ratio i=19.83 (n2≈71 rpm), Sf 2.7 at 0.75 kW; Torque arm included in unit price | Options (list → net): Shrink disc €54.00 → €35.10</t>
        </is>
      </c>
    </row>
    <row r="99">
      <c r="A99" s="13" t="inlineStr">
        <is>
          <t>GB-094</t>
        </is>
      </c>
      <c r="B99" s="13" t="inlineStr">
        <is>
          <t>Helical Bevel</t>
        </is>
      </c>
      <c r="C99" s="13" t="inlineStr">
        <is>
          <t>K / Equivalent</t>
        </is>
      </c>
      <c r="D99" s="13" t="inlineStr">
        <is>
          <t>Supplier selection</t>
        </is>
      </c>
      <c r="E99" s="13" t="n">
        <v>0.75</v>
      </c>
      <c r="F99" s="13" t="inlineStr">
        <is>
          <t>1:30</t>
        </is>
      </c>
      <c r="G99" s="13" t="inlineStr">
        <is>
          <t>Torque-arm / universal</t>
        </is>
      </c>
      <c r="H99" s="13" t="inlineStr">
        <is>
          <t>Hollow shaft, keyed</t>
        </is>
      </c>
      <c r="I99" s="13" t="inlineStr">
        <is>
          <t>IEC motor adaptor/input</t>
        </is>
      </c>
      <c r="J99" s="13" t="n">
        <v>1</v>
      </c>
      <c r="K99" s="8" t="inlineStr">
        <is>
          <t>İRKP 43-TR i=29.92 + IEC 80 B5</t>
        </is>
      </c>
      <c r="L99" s="9">
        <f>ROUND(408.0*(1-$O$3),2)</f>
        <v/>
      </c>
      <c r="M99" s="10">
        <f>J99*L99</f>
        <v/>
      </c>
      <c r="N99" s="11" t="n"/>
      <c r="O99" s="12" t="inlineStr">
        <is>
          <t>Include torque arm | Catalogue ratio i=29.92 (n2≈47 rpm), Sf 1.69 at 0.75 kW; Torque arm included in unit price | Options (list → net): Shrink disc €54.00 → €35.10</t>
        </is>
      </c>
    </row>
    <row r="100">
      <c r="A100" s="7" t="inlineStr">
        <is>
          <t>GB-095</t>
        </is>
      </c>
      <c r="B100" s="7" t="inlineStr">
        <is>
          <t>Helical Bevel</t>
        </is>
      </c>
      <c r="C100" s="7" t="inlineStr">
        <is>
          <t>K / Equivalent</t>
        </is>
      </c>
      <c r="D100" s="7" t="inlineStr">
        <is>
          <t>Supplier selection</t>
        </is>
      </c>
      <c r="E100" s="7" t="n">
        <v>1.1</v>
      </c>
      <c r="F100" s="7" t="inlineStr">
        <is>
          <t>1:10</t>
        </is>
      </c>
      <c r="G100" s="7" t="inlineStr">
        <is>
          <t>Torque-arm / universal</t>
        </is>
      </c>
      <c r="H100" s="7" t="inlineStr">
        <is>
          <t>Hollow shaft, keyed</t>
        </is>
      </c>
      <c r="I100" s="7" t="inlineStr">
        <is>
          <t>IEC motor adaptor/input</t>
        </is>
      </c>
      <c r="J100" s="7" t="n">
        <v>1</v>
      </c>
      <c r="K100" s="8" t="inlineStr">
        <is>
          <t>İRKP 63-TR i=10.44 + IEC 90 B5</t>
        </is>
      </c>
      <c r="L100" s="9">
        <f>ROUND(532.0*(1-$O$3),2)</f>
        <v/>
      </c>
      <c r="M100" s="10">
        <f>J100*L100</f>
        <v/>
      </c>
      <c r="N100" s="11" t="n"/>
      <c r="O100" s="12" t="inlineStr">
        <is>
          <t>Include torque arm | Catalogue ratio i=10.44 (n2≈134 rpm), Sf 3.7 at 1.1 kW; Torque arm included in unit price | Options (list → net): Shrink disc €68.00 → €44.20</t>
        </is>
      </c>
    </row>
    <row r="101">
      <c r="A101" s="13" t="inlineStr">
        <is>
          <t>GB-096</t>
        </is>
      </c>
      <c r="B101" s="13" t="inlineStr">
        <is>
          <t>Helical Bevel</t>
        </is>
      </c>
      <c r="C101" s="13" t="inlineStr">
        <is>
          <t>K / Equivalent</t>
        </is>
      </c>
      <c r="D101" s="13" t="inlineStr">
        <is>
          <t>Supplier selection</t>
        </is>
      </c>
      <c r="E101" s="13" t="n">
        <v>1.1</v>
      </c>
      <c r="F101" s="13" t="inlineStr">
        <is>
          <t>1:20</t>
        </is>
      </c>
      <c r="G101" s="13" t="inlineStr">
        <is>
          <t>Torque-arm / universal</t>
        </is>
      </c>
      <c r="H101" s="13" t="inlineStr">
        <is>
          <t>Hollow shaft, keyed</t>
        </is>
      </c>
      <c r="I101" s="13" t="inlineStr">
        <is>
          <t>IEC motor adaptor/input</t>
        </is>
      </c>
      <c r="J101" s="13" t="n">
        <v>1</v>
      </c>
      <c r="K101" s="8" t="inlineStr">
        <is>
          <t>İRKP 43-TR i=19.83 + IEC 90 B5</t>
        </is>
      </c>
      <c r="L101" s="9">
        <f>ROUND(408.0*(1-$O$3),2)</f>
        <v/>
      </c>
      <c r="M101" s="10">
        <f>J101*L101</f>
        <v/>
      </c>
      <c r="N101" s="11" t="n"/>
      <c r="O101" s="12" t="inlineStr">
        <is>
          <t>Include torque arm | Catalogue ratio i=19.83 (n2≈71 rpm), Sf 1.85 at 1.1 kW; Torque arm included in unit price | Options (list → net): Shrink disc €54.00 → €35.10</t>
        </is>
      </c>
    </row>
    <row r="102">
      <c r="A102" s="7" t="inlineStr">
        <is>
          <t>GB-097</t>
        </is>
      </c>
      <c r="B102" s="7" t="inlineStr">
        <is>
          <t>Helical Bevel</t>
        </is>
      </c>
      <c r="C102" s="7" t="inlineStr">
        <is>
          <t>K / Equivalent</t>
        </is>
      </c>
      <c r="D102" s="7" t="inlineStr">
        <is>
          <t>Supplier selection</t>
        </is>
      </c>
      <c r="E102" s="7" t="n">
        <v>1.1</v>
      </c>
      <c r="F102" s="7" t="inlineStr">
        <is>
          <t>1:30</t>
        </is>
      </c>
      <c r="G102" s="7" t="inlineStr">
        <is>
          <t>Torque-arm / universal</t>
        </is>
      </c>
      <c r="H102" s="7" t="inlineStr">
        <is>
          <t>Hollow shaft, keyed</t>
        </is>
      </c>
      <c r="I102" s="7" t="inlineStr">
        <is>
          <t>IEC motor adaptor/input</t>
        </is>
      </c>
      <c r="J102" s="7" t="n">
        <v>1</v>
      </c>
      <c r="K102" s="8" t="inlineStr">
        <is>
          <t>İRKP 63-TR i=30.93 + IEC 90 B5</t>
        </is>
      </c>
      <c r="L102" s="9">
        <f>ROUND(532.0*(1-$O$3),2)</f>
        <v/>
      </c>
      <c r="M102" s="10">
        <f>J102*L102</f>
        <v/>
      </c>
      <c r="N102" s="11" t="n"/>
      <c r="O102" s="12" t="inlineStr">
        <is>
          <t>Include torque arm | Catalogue ratio i=30.93 (n2≈45 rpm), Sf 1.8 at 1.1 kW; Torque arm included in unit price | Options (list → net): Shrink disc €68.00 → €44.20</t>
        </is>
      </c>
    </row>
    <row r="103">
      <c r="A103" s="13" t="inlineStr">
        <is>
          <t>GB-098</t>
        </is>
      </c>
      <c r="B103" s="13" t="inlineStr">
        <is>
          <t>Helical Bevel</t>
        </is>
      </c>
      <c r="C103" s="13" t="inlineStr">
        <is>
          <t>K / Equivalent</t>
        </is>
      </c>
      <c r="D103" s="13" t="inlineStr">
        <is>
          <t>Supplier selection</t>
        </is>
      </c>
      <c r="E103" s="13" t="n">
        <v>1.1</v>
      </c>
      <c r="F103" s="13" t="inlineStr">
        <is>
          <t>1:40</t>
        </is>
      </c>
      <c r="G103" s="13" t="inlineStr">
        <is>
          <t>Torque-arm / universal</t>
        </is>
      </c>
      <c r="H103" s="13" t="inlineStr">
        <is>
          <t>Hollow shaft, keyed</t>
        </is>
      </c>
      <c r="I103" s="13" t="inlineStr">
        <is>
          <t>IEC motor adaptor/input</t>
        </is>
      </c>
      <c r="J103" s="13" t="n">
        <v>1</v>
      </c>
      <c r="K103" s="8" t="inlineStr">
        <is>
          <t>İRKP 73-TR i=42.21 + IEC 90 B5</t>
        </is>
      </c>
      <c r="L103" s="9">
        <f>ROUND(839.0*(1-$O$3),2)</f>
        <v/>
      </c>
      <c r="M103" s="10">
        <f>J103*L103</f>
        <v/>
      </c>
      <c r="N103" s="11" t="n"/>
      <c r="O103" s="12" t="inlineStr">
        <is>
          <t>Include torque arm | Catalogue ratio i=42.21 (n2≈33 rpm), Sf 2.7 at 1.1 kW; Torque arm included in unit price | Options (list → net): Shrink disc €103.00 → €66.95</t>
        </is>
      </c>
    </row>
    <row r="104">
      <c r="A104" s="7" t="inlineStr">
        <is>
          <t>GB-099</t>
        </is>
      </c>
      <c r="B104" s="7" t="inlineStr">
        <is>
          <t>Helical Bevel</t>
        </is>
      </c>
      <c r="C104" s="7" t="inlineStr">
        <is>
          <t>K / Equivalent</t>
        </is>
      </c>
      <c r="D104" s="7" t="inlineStr">
        <is>
          <t>Supplier selection</t>
        </is>
      </c>
      <c r="E104" s="7" t="n">
        <v>1.5</v>
      </c>
      <c r="F104" s="7" t="inlineStr">
        <is>
          <t>1:10</t>
        </is>
      </c>
      <c r="G104" s="7" t="inlineStr">
        <is>
          <t>Torque-arm / universal</t>
        </is>
      </c>
      <c r="H104" s="7" t="inlineStr">
        <is>
          <t>Hollow shaft, keyed</t>
        </is>
      </c>
      <c r="I104" s="7" t="inlineStr">
        <is>
          <t>IEC motor adaptor/input</t>
        </is>
      </c>
      <c r="J104" s="7" t="n">
        <v>1</v>
      </c>
      <c r="K104" s="8" t="inlineStr">
        <is>
          <t>İRKP 63-TR i=10.44 + IEC 90 B5</t>
        </is>
      </c>
      <c r="L104" s="9">
        <f>ROUND(532.0*(1-$O$3),2)</f>
        <v/>
      </c>
      <c r="M104" s="10">
        <f>J104*L104</f>
        <v/>
      </c>
      <c r="N104" s="11" t="n"/>
      <c r="O104" s="12" t="inlineStr">
        <is>
          <t>Include torque arm | Catalogue ratio i=10.44 (n2≈134 rpm), Sf 2.7 at 1.5 kW; Torque arm included in unit price | Options (list → net): Shrink disc €68.00 → €44.20</t>
        </is>
      </c>
    </row>
    <row r="105">
      <c r="A105" s="13" t="inlineStr">
        <is>
          <t>GB-100</t>
        </is>
      </c>
      <c r="B105" s="13" t="inlineStr">
        <is>
          <t>Helical Bevel</t>
        </is>
      </c>
      <c r="C105" s="13" t="inlineStr">
        <is>
          <t>K / Equivalent</t>
        </is>
      </c>
      <c r="D105" s="13" t="inlineStr">
        <is>
          <t>Supplier selection</t>
        </is>
      </c>
      <c r="E105" s="13" t="n">
        <v>1.5</v>
      </c>
      <c r="F105" s="13" t="inlineStr">
        <is>
          <t>1:15</t>
        </is>
      </c>
      <c r="G105" s="13" t="inlineStr">
        <is>
          <t>Torque-arm / universal</t>
        </is>
      </c>
      <c r="H105" s="13" t="inlineStr">
        <is>
          <t>Hollow shaft, keyed</t>
        </is>
      </c>
      <c r="I105" s="13" t="inlineStr">
        <is>
          <t>IEC motor adaptor/input</t>
        </is>
      </c>
      <c r="J105" s="13" t="n">
        <v>1</v>
      </c>
      <c r="K105" s="8" t="inlineStr">
        <is>
          <t>İRKP 43-TR i=15.73 + IEC 90 B5</t>
        </is>
      </c>
      <c r="L105" s="9">
        <f>ROUND(408.0*(1-$O$3),2)</f>
        <v/>
      </c>
      <c r="M105" s="10">
        <f>J105*L105</f>
        <v/>
      </c>
      <c r="N105" s="11" t="n"/>
      <c r="O105" s="12" t="inlineStr">
        <is>
          <t>Include torque arm | Catalogue ratio i=15.73 (n2≈89 rpm), Sf 1.72 at 1.5 kW; Torque arm included in unit price | Options (list → net): Shrink disc €54.00 → €35.10</t>
        </is>
      </c>
    </row>
    <row r="106">
      <c r="A106" s="7" t="inlineStr">
        <is>
          <t>GB-101</t>
        </is>
      </c>
      <c r="B106" s="7" t="inlineStr">
        <is>
          <t>Helical Bevel</t>
        </is>
      </c>
      <c r="C106" s="7" t="inlineStr">
        <is>
          <t>K / Equivalent</t>
        </is>
      </c>
      <c r="D106" s="7" t="inlineStr">
        <is>
          <t>Supplier selection</t>
        </is>
      </c>
      <c r="E106" s="7" t="n">
        <v>1.5</v>
      </c>
      <c r="F106" s="7" t="inlineStr">
        <is>
          <t>1:20</t>
        </is>
      </c>
      <c r="G106" s="7" t="inlineStr">
        <is>
          <t>Torque-arm / universal</t>
        </is>
      </c>
      <c r="H106" s="7" t="inlineStr">
        <is>
          <t>Hollow shaft, keyed</t>
        </is>
      </c>
      <c r="I106" s="7" t="inlineStr">
        <is>
          <t>IEC motor adaptor/input</t>
        </is>
      </c>
      <c r="J106" s="7" t="n">
        <v>1</v>
      </c>
      <c r="K106" s="8" t="inlineStr">
        <is>
          <t>İRKP 63-TR i=19.11 + IEC 90 B5</t>
        </is>
      </c>
      <c r="L106" s="9">
        <f>ROUND(532.0*(1-$O$3),2)</f>
        <v/>
      </c>
      <c r="M106" s="10">
        <f>J106*L106</f>
        <v/>
      </c>
      <c r="N106" s="11" t="n"/>
      <c r="O106" s="12" t="inlineStr">
        <is>
          <t>Include torque arm | Catalogue ratio i=19.11 (n2≈73 rpm), Sf 2.0 at 1.5 kW; Torque arm included in unit price | Options (list → net): Shrink disc €68.00 → €44.20</t>
        </is>
      </c>
    </row>
    <row r="107">
      <c r="A107" s="13" t="inlineStr">
        <is>
          <t>GB-102</t>
        </is>
      </c>
      <c r="B107" s="13" t="inlineStr">
        <is>
          <t>Helical Bevel</t>
        </is>
      </c>
      <c r="C107" s="13" t="inlineStr">
        <is>
          <t>K / Equivalent</t>
        </is>
      </c>
      <c r="D107" s="13" t="inlineStr">
        <is>
          <t>Supplier selection</t>
        </is>
      </c>
      <c r="E107" s="13" t="n">
        <v>1.5</v>
      </c>
      <c r="F107" s="13" t="inlineStr">
        <is>
          <t>1:30</t>
        </is>
      </c>
      <c r="G107" s="13" t="inlineStr">
        <is>
          <t>Torque-arm / universal</t>
        </is>
      </c>
      <c r="H107" s="13" t="inlineStr">
        <is>
          <t>Hollow shaft, keyed</t>
        </is>
      </c>
      <c r="I107" s="13" t="inlineStr">
        <is>
          <t>IEC motor adaptor/input</t>
        </is>
      </c>
      <c r="J107" s="13" t="n">
        <v>1</v>
      </c>
      <c r="K107" s="8" t="inlineStr">
        <is>
          <t>İRKP 73-TR i=28.39 + IEC 90 B5</t>
        </is>
      </c>
      <c r="L107" s="9">
        <f>ROUND(839.0*(1-$O$3),2)</f>
        <v/>
      </c>
      <c r="M107" s="10">
        <f>J107*L107</f>
        <v/>
      </c>
      <c r="N107" s="11" t="n"/>
      <c r="O107" s="12" t="inlineStr">
        <is>
          <t>Include torque arm | Catalogue ratio i=28.39 (n2≈49 rpm), Sf 2.9 at 1.5 kW; Torque arm included in unit price | Options (list → net): Shrink disc €103.00 → €66.95</t>
        </is>
      </c>
    </row>
    <row r="108">
      <c r="A108" s="7" t="inlineStr">
        <is>
          <t>GB-103</t>
        </is>
      </c>
      <c r="B108" s="7" t="inlineStr">
        <is>
          <t>Helical Bevel</t>
        </is>
      </c>
      <c r="C108" s="7" t="inlineStr">
        <is>
          <t>K / Equivalent</t>
        </is>
      </c>
      <c r="D108" s="7" t="inlineStr">
        <is>
          <t>Supplier selection</t>
        </is>
      </c>
      <c r="E108" s="7" t="n">
        <v>1.5</v>
      </c>
      <c r="F108" s="7" t="inlineStr">
        <is>
          <t>1:40</t>
        </is>
      </c>
      <c r="G108" s="7" t="inlineStr">
        <is>
          <t>Torque-arm / universal</t>
        </is>
      </c>
      <c r="H108" s="7" t="inlineStr">
        <is>
          <t>Hollow shaft, keyed</t>
        </is>
      </c>
      <c r="I108" s="7" t="inlineStr">
        <is>
          <t>IEC motor adaptor/input</t>
        </is>
      </c>
      <c r="J108" s="7" t="n">
        <v>1</v>
      </c>
      <c r="K108" s="8" t="inlineStr">
        <is>
          <t>İRKP 73-TR i=42.21 + IEC 90 B5</t>
        </is>
      </c>
      <c r="L108" s="9">
        <f>ROUND(839.0*(1-$O$3),2)</f>
        <v/>
      </c>
      <c r="M108" s="10">
        <f>J108*L108</f>
        <v/>
      </c>
      <c r="N108" s="11" t="n"/>
      <c r="O108" s="12" t="inlineStr">
        <is>
          <t>Include torque arm | Catalogue ratio i=42.21 (n2≈33 rpm), Sf 1.98 at 1.5 kW; Torque arm included in unit price | Options (list → net): Shrink disc €103.00 → €66.95</t>
        </is>
      </c>
    </row>
    <row r="109">
      <c r="A109" s="13" t="inlineStr">
        <is>
          <t>GB-104</t>
        </is>
      </c>
      <c r="B109" s="13" t="inlineStr">
        <is>
          <t>Helical Bevel</t>
        </is>
      </c>
      <c r="C109" s="13" t="inlineStr">
        <is>
          <t>K / Equivalent</t>
        </is>
      </c>
      <c r="D109" s="13" t="inlineStr">
        <is>
          <t>Supplier selection</t>
        </is>
      </c>
      <c r="E109" s="13" t="n">
        <v>2.2</v>
      </c>
      <c r="F109" s="13" t="inlineStr">
        <is>
          <t>1:10</t>
        </is>
      </c>
      <c r="G109" s="13" t="inlineStr">
        <is>
          <t>Torque-arm / universal</t>
        </is>
      </c>
      <c r="H109" s="13" t="inlineStr">
        <is>
          <t>Hollow shaft, keyed</t>
        </is>
      </c>
      <c r="I109" s="13" t="inlineStr">
        <is>
          <t>IEC motor adaptor/input</t>
        </is>
      </c>
      <c r="J109" s="13" t="n">
        <v>1</v>
      </c>
      <c r="K109" s="8" t="inlineStr">
        <is>
          <t>İRKP 63-TR i=10.44 + IEC 100 B5</t>
        </is>
      </c>
      <c r="L109" s="9">
        <f>ROUND(539.0*(1-$O$3),2)</f>
        <v/>
      </c>
      <c r="M109" s="10">
        <f>J109*L109</f>
        <v/>
      </c>
      <c r="N109" s="11" t="n"/>
      <c r="O109" s="12" t="inlineStr">
        <is>
          <t>Include torque arm | Catalogue ratio i=10.44 (n2≈134 rpm), Sf 1.84 at 2.2 kW; Torque arm included in unit price | Options (list → net): Shrink disc €68.00 → €44.20</t>
        </is>
      </c>
    </row>
    <row r="110">
      <c r="A110" s="7" t="inlineStr">
        <is>
          <t>GB-105</t>
        </is>
      </c>
      <c r="B110" s="7" t="inlineStr">
        <is>
          <t>Helical Bevel</t>
        </is>
      </c>
      <c r="C110" s="7" t="inlineStr">
        <is>
          <t>K / Equivalent</t>
        </is>
      </c>
      <c r="D110" s="7" t="inlineStr">
        <is>
          <t>Supplier selection</t>
        </is>
      </c>
      <c r="E110" s="7" t="n">
        <v>2.2</v>
      </c>
      <c r="F110" s="7" t="inlineStr">
        <is>
          <t>1:15</t>
        </is>
      </c>
      <c r="G110" s="7" t="inlineStr">
        <is>
          <t>Torque-arm / universal</t>
        </is>
      </c>
      <c r="H110" s="7" t="inlineStr">
        <is>
          <t>Hollow shaft, keyed</t>
        </is>
      </c>
      <c r="I110" s="7" t="inlineStr">
        <is>
          <t>IEC motor adaptor/input</t>
        </is>
      </c>
      <c r="J110" s="7" t="n">
        <v>1</v>
      </c>
      <c r="K110" s="8" t="inlineStr">
        <is>
          <t>İRKP 63-TR i=15.04 + IEC 100 B5</t>
        </is>
      </c>
      <c r="L110" s="9">
        <f>ROUND(539.0*(1-$O$3),2)</f>
        <v/>
      </c>
      <c r="M110" s="10">
        <f>J110*L110</f>
        <v/>
      </c>
      <c r="N110" s="11" t="n"/>
      <c r="O110" s="12" t="inlineStr">
        <is>
          <t>Include torque arm | Catalogue ratio i=15.04 (n2≈93 rpm), Sf 1.64 at 2.2 kW; Torque arm included in unit price | Options (list → net): Shrink disc €68.00 → €44.20</t>
        </is>
      </c>
    </row>
    <row r="111">
      <c r="A111" s="13" t="inlineStr">
        <is>
          <t>GB-106</t>
        </is>
      </c>
      <c r="B111" s="13" t="inlineStr">
        <is>
          <t>Helical Bevel</t>
        </is>
      </c>
      <c r="C111" s="13" t="inlineStr">
        <is>
          <t>K / Equivalent</t>
        </is>
      </c>
      <c r="D111" s="13" t="inlineStr">
        <is>
          <t>Supplier selection</t>
        </is>
      </c>
      <c r="E111" s="13" t="n">
        <v>2.2</v>
      </c>
      <c r="F111" s="13" t="inlineStr">
        <is>
          <t>1:20</t>
        </is>
      </c>
      <c r="G111" s="13" t="inlineStr">
        <is>
          <t>Torque-arm / universal</t>
        </is>
      </c>
      <c r="H111" s="13" t="inlineStr">
        <is>
          <t>Hollow shaft, keyed</t>
        </is>
      </c>
      <c r="I111" s="13" t="inlineStr">
        <is>
          <t>IEC motor adaptor/input</t>
        </is>
      </c>
      <c r="J111" s="13" t="n">
        <v>1</v>
      </c>
      <c r="K111" s="8" t="inlineStr">
        <is>
          <t>İRKP 73-TR i=19.51 + IEC 100 B5</t>
        </is>
      </c>
      <c r="L111" s="9">
        <f>ROUND(856.0*(1-$O$3),2)</f>
        <v/>
      </c>
      <c r="M111" s="10">
        <f>J111*L111</f>
        <v/>
      </c>
      <c r="N111" s="11" t="n"/>
      <c r="O111" s="12" t="inlineStr">
        <is>
          <t>Include torque arm | Catalogue ratio i=19.51 (n2≈72 rpm), Sf 2.7 at 2.2 kW; Torque arm included in unit price | Options (list → net): Shrink disc €103.00 → €66.95</t>
        </is>
      </c>
    </row>
    <row r="112">
      <c r="A112" s="7" t="inlineStr">
        <is>
          <t>GB-107</t>
        </is>
      </c>
      <c r="B112" s="7" t="inlineStr">
        <is>
          <t>Helical Bevel</t>
        </is>
      </c>
      <c r="C112" s="7" t="inlineStr">
        <is>
          <t>K / Equivalent</t>
        </is>
      </c>
      <c r="D112" s="7" t="inlineStr">
        <is>
          <t>Supplier selection</t>
        </is>
      </c>
      <c r="E112" s="7" t="n">
        <v>2.2</v>
      </c>
      <c r="F112" s="7" t="inlineStr">
        <is>
          <t>1:30</t>
        </is>
      </c>
      <c r="G112" s="7" t="inlineStr">
        <is>
          <t>Torque-arm / universal</t>
        </is>
      </c>
      <c r="H112" s="7" t="inlineStr">
        <is>
          <t>Hollow shaft, keyed</t>
        </is>
      </c>
      <c r="I112" s="7" t="inlineStr">
        <is>
          <t>IEC motor adaptor/input</t>
        </is>
      </c>
      <c r="J112" s="7" t="n">
        <v>1</v>
      </c>
      <c r="K112" s="8" t="inlineStr">
        <is>
          <t>İRKP 83-TR i=31.34 + IEC 100 B5</t>
        </is>
      </c>
      <c r="L112" s="9">
        <f>ROUND(1254.0*(1-$O$3),2)</f>
        <v/>
      </c>
      <c r="M112" s="10">
        <f>J112*L112</f>
        <v/>
      </c>
      <c r="N112" s="11" t="n"/>
      <c r="O112" s="12" t="inlineStr">
        <is>
          <t>Include torque arm | Catalogue ratio i=31.34 (n2≈45 rpm), Sf 3.3 at 2.2 kW; Torque arm included in unit price | Options (list → net): Shrink disc €162.00 → €105.30</t>
        </is>
      </c>
    </row>
    <row r="113">
      <c r="A113" s="13" t="inlineStr">
        <is>
          <t>GB-108</t>
        </is>
      </c>
      <c r="B113" s="13" t="inlineStr">
        <is>
          <t>Helical Bevel</t>
        </is>
      </c>
      <c r="C113" s="13" t="inlineStr">
        <is>
          <t>K / Equivalent</t>
        </is>
      </c>
      <c r="D113" s="13" t="inlineStr">
        <is>
          <t>Supplier selection</t>
        </is>
      </c>
      <c r="E113" s="13" t="n">
        <v>2.2</v>
      </c>
      <c r="F113" s="13" t="inlineStr">
        <is>
          <t>1:40</t>
        </is>
      </c>
      <c r="G113" s="13" t="inlineStr">
        <is>
          <t>Torque-arm / universal</t>
        </is>
      </c>
      <c r="H113" s="13" t="inlineStr">
        <is>
          <t>Hollow shaft, keyed</t>
        </is>
      </c>
      <c r="I113" s="13" t="inlineStr">
        <is>
          <t>IEC motor adaptor/input</t>
        </is>
      </c>
      <c r="J113" s="13" t="n">
        <v>1</v>
      </c>
      <c r="K113" s="8" t="inlineStr">
        <is>
          <t>İRKP 83-TR i=37.93 + IEC 100 B5</t>
        </is>
      </c>
      <c r="L113" s="9">
        <f>ROUND(1254.0*(1-$O$3),2)</f>
        <v/>
      </c>
      <c r="M113" s="10">
        <f>J113*L113</f>
        <v/>
      </c>
      <c r="N113" s="11" t="n"/>
      <c r="O113" s="12" t="inlineStr">
        <is>
          <t>Include torque arm | Catalogue ratio i=37.93 (n2≈37 rpm), Sf 2.5 at 2.2 kW; Torque arm included in unit price | Options (list → net): Shrink disc €162.00 → €105.30</t>
        </is>
      </c>
    </row>
    <row r="114">
      <c r="A114" s="7" t="inlineStr">
        <is>
          <t>GB-109</t>
        </is>
      </c>
      <c r="B114" s="7" t="inlineStr">
        <is>
          <t>Helical Bevel</t>
        </is>
      </c>
      <c r="C114" s="7" t="inlineStr">
        <is>
          <t>K / Equivalent</t>
        </is>
      </c>
      <c r="D114" s="7" t="inlineStr">
        <is>
          <t>Supplier selection</t>
        </is>
      </c>
      <c r="E114" s="7" t="n">
        <v>3</v>
      </c>
      <c r="F114" s="7" t="inlineStr">
        <is>
          <t>1:15</t>
        </is>
      </c>
      <c r="G114" s="7" t="inlineStr">
        <is>
          <t>Foot mounted</t>
        </is>
      </c>
      <c r="H114" s="7" t="inlineStr">
        <is>
          <t>Solid output shaft</t>
        </is>
      </c>
      <c r="I114" s="7" t="inlineStr">
        <is>
          <t>IEC motor adaptor/input</t>
        </is>
      </c>
      <c r="J114" s="7" t="n">
        <v>1</v>
      </c>
      <c r="K114" s="8" t="inlineStr">
        <is>
          <t>İRKP 73-SR i=15.53 + IEC 100 B5 (foot mounted)</t>
        </is>
      </c>
      <c r="L114" s="9">
        <f>ROUND(854.0*(1-$O$3),2)</f>
        <v/>
      </c>
      <c r="M114" s="10">
        <f>J114*L114</f>
        <v/>
      </c>
      <c r="N114" s="11" t="n"/>
      <c r="O114" s="12" t="inlineStr">
        <is>
          <t>Quote output flange option | Catalogue ratio i=15.53 (n2≈90 rpm), Sf 2.2 at 3 kW | Options (list → net): Output flange €32.00 → €20.80</t>
        </is>
      </c>
    </row>
    <row r="115">
      <c r="A115" s="13" t="inlineStr">
        <is>
          <t>GB-110</t>
        </is>
      </c>
      <c r="B115" s="13" t="inlineStr">
        <is>
          <t>Helical Bevel</t>
        </is>
      </c>
      <c r="C115" s="13" t="inlineStr">
        <is>
          <t>K / Equivalent</t>
        </is>
      </c>
      <c r="D115" s="13" t="inlineStr">
        <is>
          <t>Supplier selection</t>
        </is>
      </c>
      <c r="E115" s="13" t="n">
        <v>3</v>
      </c>
      <c r="F115" s="13" t="inlineStr">
        <is>
          <t>1:20</t>
        </is>
      </c>
      <c r="G115" s="13" t="inlineStr">
        <is>
          <t>Foot mounted</t>
        </is>
      </c>
      <c r="H115" s="13" t="inlineStr">
        <is>
          <t>Solid output shaft</t>
        </is>
      </c>
      <c r="I115" s="13" t="inlineStr">
        <is>
          <t>IEC motor adaptor/input</t>
        </is>
      </c>
      <c r="J115" s="13" t="n">
        <v>1</v>
      </c>
      <c r="K115" s="8" t="inlineStr">
        <is>
          <t>İRKP 73-SR i=19.51 + IEC 100 B5 (foot mounted)</t>
        </is>
      </c>
      <c r="L115" s="9">
        <f>ROUND(854.0*(1-$O$3),2)</f>
        <v/>
      </c>
      <c r="M115" s="10">
        <f>J115*L115</f>
        <v/>
      </c>
      <c r="N115" s="11" t="n"/>
      <c r="O115" s="12" t="inlineStr">
        <is>
          <t>Quote output flange option | Catalogue ratio i=19.51 (n2≈72 rpm), Sf 1.94 at 3 kW | Options (list → net): Output flange €32.00 → €20.80</t>
        </is>
      </c>
    </row>
    <row r="116">
      <c r="A116" s="7" t="inlineStr">
        <is>
          <t>GB-111</t>
        </is>
      </c>
      <c r="B116" s="7" t="inlineStr">
        <is>
          <t>Helical Bevel</t>
        </is>
      </c>
      <c r="C116" s="7" t="inlineStr">
        <is>
          <t>K / Equivalent</t>
        </is>
      </c>
      <c r="D116" s="7" t="inlineStr">
        <is>
          <t>Supplier selection</t>
        </is>
      </c>
      <c r="E116" s="7" t="n">
        <v>3</v>
      </c>
      <c r="F116" s="7" t="inlineStr">
        <is>
          <t>1:30</t>
        </is>
      </c>
      <c r="G116" s="7" t="inlineStr">
        <is>
          <t>Foot mounted</t>
        </is>
      </c>
      <c r="H116" s="7" t="inlineStr">
        <is>
          <t>Solid output shaft</t>
        </is>
      </c>
      <c r="I116" s="7" t="inlineStr">
        <is>
          <t>IEC motor adaptor/input</t>
        </is>
      </c>
      <c r="J116" s="7" t="n">
        <v>1</v>
      </c>
      <c r="K116" s="8" t="inlineStr">
        <is>
          <t>İRKP 83-SR i=31.34 + IEC 100 B5 (foot mounted)</t>
        </is>
      </c>
      <c r="L116" s="9">
        <f>ROUND(1251.0*(1-$O$3),2)</f>
        <v/>
      </c>
      <c r="M116" s="10">
        <f>J116*L116</f>
        <v/>
      </c>
      <c r="N116" s="11" t="n"/>
      <c r="O116" s="12" t="inlineStr">
        <is>
          <t>Quote output flange option | Catalogue ratio i=31.34 (n2≈45 rpm), Sf 2.4 at 3 kW | Options (list → net): Output flange €40.00 → €26.00</t>
        </is>
      </c>
    </row>
    <row r="117">
      <c r="A117" s="13" t="inlineStr">
        <is>
          <t>GB-112</t>
        </is>
      </c>
      <c r="B117" s="13" t="inlineStr">
        <is>
          <t>Helical Bevel</t>
        </is>
      </c>
      <c r="C117" s="13" t="inlineStr">
        <is>
          <t>K / Equivalent</t>
        </is>
      </c>
      <c r="D117" s="13" t="inlineStr">
        <is>
          <t>Supplier selection</t>
        </is>
      </c>
      <c r="E117" s="13" t="n">
        <v>4</v>
      </c>
      <c r="F117" s="13" t="inlineStr">
        <is>
          <t>1:15</t>
        </is>
      </c>
      <c r="G117" s="13" t="inlineStr">
        <is>
          <t>Foot mounted</t>
        </is>
      </c>
      <c r="H117" s="13" t="inlineStr">
        <is>
          <t>Solid output shaft</t>
        </is>
      </c>
      <c r="I117" s="13" t="inlineStr">
        <is>
          <t>IEC motor adaptor/input</t>
        </is>
      </c>
      <c r="J117" s="13" t="n">
        <v>1</v>
      </c>
      <c r="K117" s="8" t="inlineStr">
        <is>
          <t>İRKP 73-SR i=15.53 + IEC 112 B5 (foot mounted)</t>
        </is>
      </c>
      <c r="L117" s="9">
        <f>ROUND(854.0*(1-$O$3),2)</f>
        <v/>
      </c>
      <c r="M117" s="10">
        <f>J117*L117</f>
        <v/>
      </c>
      <c r="N117" s="11" t="n"/>
      <c r="O117" s="12" t="inlineStr">
        <is>
          <t>Quote output flange option | Catalogue ratio i=15.53 (n2≈90 rpm), Sf 1.65 at 4 kW | Options (list → net): Output flange €32.00 → €20.80</t>
        </is>
      </c>
    </row>
    <row r="118">
      <c r="A118" s="7" t="inlineStr">
        <is>
          <t>GB-113</t>
        </is>
      </c>
      <c r="B118" s="7" t="inlineStr">
        <is>
          <t>Helical Bevel</t>
        </is>
      </c>
      <c r="C118" s="7" t="inlineStr">
        <is>
          <t>K / Equivalent</t>
        </is>
      </c>
      <c r="D118" s="7" t="inlineStr">
        <is>
          <t>Supplier selection</t>
        </is>
      </c>
      <c r="E118" s="7" t="n">
        <v>4</v>
      </c>
      <c r="F118" s="7" t="inlineStr">
        <is>
          <t>1:20</t>
        </is>
      </c>
      <c r="G118" s="7" t="inlineStr">
        <is>
          <t>Foot mounted</t>
        </is>
      </c>
      <c r="H118" s="7" t="inlineStr">
        <is>
          <t>Solid output shaft</t>
        </is>
      </c>
      <c r="I118" s="7" t="inlineStr">
        <is>
          <t>IEC motor adaptor/input</t>
        </is>
      </c>
      <c r="J118" s="7" t="n">
        <v>1</v>
      </c>
      <c r="K118" s="8" t="inlineStr">
        <is>
          <t>İRKP 83-SR i=19.33 + IEC 112 B5 (foot mounted)</t>
        </is>
      </c>
      <c r="L118" s="9">
        <f>ROUND(1251.0*(1-$O$3),2)</f>
        <v/>
      </c>
      <c r="M118" s="10">
        <f>J118*L118</f>
        <v/>
      </c>
      <c r="N118" s="11" t="n"/>
      <c r="O118" s="12" t="inlineStr">
        <is>
          <t>Quote output flange option | Catalogue ratio i=19.33 (n2≈72 rpm), Sf 2.7 at 4 kW | Options (list → net): Output flange €40.00 → €26.00</t>
        </is>
      </c>
    </row>
    <row r="119">
      <c r="A119" s="13" t="inlineStr">
        <is>
          <t>GB-114</t>
        </is>
      </c>
      <c r="B119" s="13" t="inlineStr">
        <is>
          <t>Helical Bevel</t>
        </is>
      </c>
      <c r="C119" s="13" t="inlineStr">
        <is>
          <t>K / Equivalent</t>
        </is>
      </c>
      <c r="D119" s="13" t="inlineStr">
        <is>
          <t>Supplier selection</t>
        </is>
      </c>
      <c r="E119" s="13" t="n">
        <v>4</v>
      </c>
      <c r="F119" s="13" t="inlineStr">
        <is>
          <t>1:30</t>
        </is>
      </c>
      <c r="G119" s="13" t="inlineStr">
        <is>
          <t>Foot mounted</t>
        </is>
      </c>
      <c r="H119" s="13" t="inlineStr">
        <is>
          <t>Solid output shaft</t>
        </is>
      </c>
      <c r="I119" s="13" t="inlineStr">
        <is>
          <t>IEC motor adaptor/input</t>
        </is>
      </c>
      <c r="J119" s="13" t="n">
        <v>1</v>
      </c>
      <c r="K119" s="8" t="inlineStr">
        <is>
          <t>İRKP 83-SR i=31.34 + IEC 112 B5 (foot mounted)</t>
        </is>
      </c>
      <c r="L119" s="9">
        <f>ROUND(1251.0*(1-$O$3),2)</f>
        <v/>
      </c>
      <c r="M119" s="10">
        <f>J119*L119</f>
        <v/>
      </c>
      <c r="N119" s="11" t="n"/>
      <c r="O119" s="12" t="inlineStr">
        <is>
          <t>Quote output flange option | Catalogue ratio i=31.34 (n2≈45 rpm), Sf 1.81 at 4 kW | Options (list → net): Output flange €40.00 → €26.00</t>
        </is>
      </c>
    </row>
    <row r="120">
      <c r="A120" s="7" t="inlineStr">
        <is>
          <t>GB-115</t>
        </is>
      </c>
      <c r="B120" s="7" t="inlineStr">
        <is>
          <t>Helical Bevel</t>
        </is>
      </c>
      <c r="C120" s="7" t="inlineStr">
        <is>
          <t>K / Equivalent</t>
        </is>
      </c>
      <c r="D120" s="7" t="inlineStr">
        <is>
          <t>Supplier selection</t>
        </is>
      </c>
      <c r="E120" s="7" t="n">
        <v>5.5</v>
      </c>
      <c r="F120" s="7" t="inlineStr">
        <is>
          <t>1:20</t>
        </is>
      </c>
      <c r="G120" s="7" t="inlineStr">
        <is>
          <t>Foot mounted</t>
        </is>
      </c>
      <c r="H120" s="7" t="inlineStr">
        <is>
          <t>Solid output shaft</t>
        </is>
      </c>
      <c r="I120" s="7" t="inlineStr">
        <is>
          <t>IEC motor adaptor/input</t>
        </is>
      </c>
      <c r="J120" s="7" t="n">
        <v>1</v>
      </c>
      <c r="K120" s="8" t="inlineStr">
        <is>
          <t>İRKP 83-SR i=19.33 + IEC 132 B5 (foot mounted)</t>
        </is>
      </c>
      <c r="L120" s="9">
        <f>ROUND(1266.0*(1-$O$3),2)</f>
        <v/>
      </c>
      <c r="M120" s="10">
        <f>J120*L120</f>
        <v/>
      </c>
      <c r="N120" s="11" t="n"/>
      <c r="O120" s="12" t="inlineStr">
        <is>
          <t>Quote output flange option | Catalogue ratio i=19.33 (n2≈72 rpm), Sf 2.0 at 5.5 kW | Options (list → net): Output flange €40.00 → €26.00</t>
        </is>
      </c>
    </row>
    <row r="121">
      <c r="A121" s="13" t="inlineStr">
        <is>
          <t>GB-116</t>
        </is>
      </c>
      <c r="B121" s="13" t="inlineStr">
        <is>
          <t>Helical Bevel</t>
        </is>
      </c>
      <c r="C121" s="13" t="inlineStr">
        <is>
          <t>K / Equivalent</t>
        </is>
      </c>
      <c r="D121" s="13" t="inlineStr">
        <is>
          <t>Supplier selection</t>
        </is>
      </c>
      <c r="E121" s="13" t="n">
        <v>5.5</v>
      </c>
      <c r="F121" s="13" t="inlineStr">
        <is>
          <t>1:30</t>
        </is>
      </c>
      <c r="G121" s="13" t="inlineStr">
        <is>
          <t>Foot mounted</t>
        </is>
      </c>
      <c r="H121" s="13" t="inlineStr">
        <is>
          <t>Solid output shaft</t>
        </is>
      </c>
      <c r="I121" s="13" t="inlineStr">
        <is>
          <t>IEC motor adaptor/input</t>
        </is>
      </c>
      <c r="J121" s="13" t="n">
        <v>1</v>
      </c>
      <c r="K121" s="8" t="inlineStr">
        <is>
          <t>İRKP 93-SR i=29.78 + IEC 132 B5 (foot mounted)</t>
        </is>
      </c>
      <c r="L121" s="9">
        <f>ROUND(1707.0*(1-$O$3),2)</f>
        <v/>
      </c>
      <c r="M121" s="10">
        <f>J121*L121</f>
        <v/>
      </c>
      <c r="N121" s="11" t="n"/>
      <c r="O121" s="12" t="inlineStr">
        <is>
          <t>Quote output flange option | Catalogue ratio i=29.78 (n2≈47 rpm), Sf 2.4 at 5.5 kW | Options (list → net): Output flange €71.00 → €46.15</t>
        </is>
      </c>
    </row>
    <row r="122">
      <c r="A122" s="7" t="inlineStr">
        <is>
          <t>GB-117</t>
        </is>
      </c>
      <c r="B122" s="7" t="inlineStr">
        <is>
          <t>Helical Bevel</t>
        </is>
      </c>
      <c r="C122" s="7" t="inlineStr">
        <is>
          <t>K / Equivalent</t>
        </is>
      </c>
      <c r="D122" s="7" t="inlineStr">
        <is>
          <t>Supplier selection</t>
        </is>
      </c>
      <c r="E122" s="7" t="n">
        <v>7.5</v>
      </c>
      <c r="F122" s="7" t="inlineStr">
        <is>
          <t>1:20</t>
        </is>
      </c>
      <c r="G122" s="7" t="inlineStr">
        <is>
          <t>Foot mounted</t>
        </is>
      </c>
      <c r="H122" s="7" t="inlineStr">
        <is>
          <t>Solid output shaft</t>
        </is>
      </c>
      <c r="I122" s="7" t="inlineStr">
        <is>
          <t>IEC motor adaptor/input</t>
        </is>
      </c>
      <c r="J122" s="7" t="n">
        <v>1</v>
      </c>
      <c r="K122" s="8" t="inlineStr">
        <is>
          <t>İRKP 93-SR i=20.8 + IEC 132 B5 (foot mounted)</t>
        </is>
      </c>
      <c r="L122" s="9">
        <f>ROUND(1707.0*(1-$O$3),2)</f>
        <v/>
      </c>
      <c r="M122" s="10">
        <f>J122*L122</f>
        <v/>
      </c>
      <c r="N122" s="11" t="n"/>
      <c r="O122" s="12" t="inlineStr">
        <is>
          <t>Quote output flange option | Catalogue ratio i=20.8 (n2≈67 rpm), Sf 2.4 at 7.5 kW | Options (list → net): Output flange €71.00 → €46.15</t>
        </is>
      </c>
    </row>
    <row r="123">
      <c r="A123" s="13" t="inlineStr">
        <is>
          <t>GB-118</t>
        </is>
      </c>
      <c r="B123" s="13" t="inlineStr">
        <is>
          <t>Helical Bevel</t>
        </is>
      </c>
      <c r="C123" s="13" t="inlineStr">
        <is>
          <t>K / Equivalent</t>
        </is>
      </c>
      <c r="D123" s="13" t="inlineStr">
        <is>
          <t>Supplier selection</t>
        </is>
      </c>
      <c r="E123" s="13" t="n">
        <v>11</v>
      </c>
      <c r="F123" s="13" t="inlineStr">
        <is>
          <t>1:30</t>
        </is>
      </c>
      <c r="G123" s="13" t="inlineStr">
        <is>
          <t>Foot mounted</t>
        </is>
      </c>
      <c r="H123" s="13" t="inlineStr">
        <is>
          <t>Solid output shaft</t>
        </is>
      </c>
      <c r="I123" s="13" t="inlineStr">
        <is>
          <t>IEC motor adaptor/input</t>
        </is>
      </c>
      <c r="J123" s="13" t="n">
        <v>1</v>
      </c>
      <c r="K123" s="8" t="inlineStr">
        <is>
          <t>İRKP 103-SR i=30.65 + IEC 160 B5 (foot mounted)</t>
        </is>
      </c>
      <c r="L123" s="9">
        <f>ROUND(2573.0*(1-$O$3),2)</f>
        <v/>
      </c>
      <c r="M123" s="10">
        <f>J123*L123</f>
        <v/>
      </c>
      <c r="N123" s="11" t="n"/>
      <c r="O123" s="12" t="inlineStr">
        <is>
          <t>Quote output flange option | Catalogue ratio i=30.65 (n2≈46 rpm), Sf 1.9 at 11 kW | Options (list → net): Output flange €129.00 → €83.85</t>
        </is>
      </c>
    </row>
    <row r="124">
      <c r="A124" s="7" t="inlineStr">
        <is>
          <t>GB-119</t>
        </is>
      </c>
      <c r="B124" s="7" t="inlineStr">
        <is>
          <t>Helical Bevel</t>
        </is>
      </c>
      <c r="C124" s="7" t="inlineStr">
        <is>
          <t>K / Equivalent</t>
        </is>
      </c>
      <c r="D124" s="7" t="inlineStr">
        <is>
          <t>Supplier selection</t>
        </is>
      </c>
      <c r="E124" s="7" t="n">
        <v>15</v>
      </c>
      <c r="F124" s="7" t="inlineStr">
        <is>
          <t>1:30</t>
        </is>
      </c>
      <c r="G124" s="7" t="inlineStr">
        <is>
          <t>Foot mounted</t>
        </is>
      </c>
      <c r="H124" s="7" t="inlineStr">
        <is>
          <t>Solid output shaft</t>
        </is>
      </c>
      <c r="I124" s="7" t="inlineStr">
        <is>
          <t>IEC motor adaptor/input</t>
        </is>
      </c>
      <c r="J124" s="7" t="n">
        <v>1</v>
      </c>
      <c r="K124" s="8" t="inlineStr">
        <is>
          <t>İRKP 123-SR i=30.13 + IEC 160 B5 (foot mounted)</t>
        </is>
      </c>
      <c r="L124" s="9">
        <f>ROUND(3987.0*(1-$O$3),2)</f>
        <v/>
      </c>
      <c r="M124" s="10">
        <f>J124*L124</f>
        <v/>
      </c>
      <c r="N124" s="11" t="n"/>
      <c r="O124" s="12" t="inlineStr">
        <is>
          <t>Quote output flange option | Catalogue ratio i=30.13 (n2≈46 rpm), Sf 2.4 at 15 kW | Options (list → net): Output flange €192.00 → €124.80</t>
        </is>
      </c>
    </row>
    <row r="125">
      <c r="A125" s="13" t="inlineStr">
        <is>
          <t>GB-120</t>
        </is>
      </c>
      <c r="B125" s="13" t="inlineStr">
        <is>
          <t>Helical Bevel</t>
        </is>
      </c>
      <c r="C125" s="13" t="inlineStr">
        <is>
          <t>K / Equivalent</t>
        </is>
      </c>
      <c r="D125" s="13" t="inlineStr">
        <is>
          <t>Supplier selection</t>
        </is>
      </c>
      <c r="E125" s="13" t="n">
        <v>22</v>
      </c>
      <c r="F125" s="13" t="inlineStr">
        <is>
          <t>1:40</t>
        </is>
      </c>
      <c r="G125" s="13" t="inlineStr">
        <is>
          <t>Foot mounted</t>
        </is>
      </c>
      <c r="H125" s="13" t="inlineStr">
        <is>
          <t>Solid output shaft</t>
        </is>
      </c>
      <c r="I125" s="13" t="inlineStr">
        <is>
          <t>IEC motor adaptor/input</t>
        </is>
      </c>
      <c r="J125" s="13" t="n">
        <v>1</v>
      </c>
      <c r="K125" s="8" t="inlineStr">
        <is>
          <t>İRKP 143-SR i=41.15 + IEC 180 B5 (foot mounted)</t>
        </is>
      </c>
      <c r="L125" s="9">
        <f>ROUND(6087.0*(1-$O$3),2)</f>
        <v/>
      </c>
      <c r="M125" s="10">
        <f>J125*L125</f>
        <v/>
      </c>
      <c r="N125" s="11" t="n"/>
      <c r="O125" s="12" t="inlineStr">
        <is>
          <t>Quote output flange option | Catalogue ratio i=41.15 (n2≈34 rpm), Sf 2.2 at 22 kW | Options (list → net): Output flange €302.00 → €196.30</t>
        </is>
      </c>
    </row>
    <row r="126">
      <c r="A126" s="7" t="inlineStr">
        <is>
          <t>GB-121</t>
        </is>
      </c>
      <c r="B126" s="7" t="inlineStr">
        <is>
          <t>Parallel Shaft</t>
        </is>
      </c>
      <c r="C126" s="7" t="inlineStr">
        <is>
          <t>F / Equivalent</t>
        </is>
      </c>
      <c r="D126" s="7" t="inlineStr">
        <is>
          <t>Supplier selection</t>
        </is>
      </c>
      <c r="E126" s="7" t="n">
        <v>1.5</v>
      </c>
      <c r="F126" s="7" t="inlineStr">
        <is>
          <t>1:10</t>
        </is>
      </c>
      <c r="G126" s="7" t="inlineStr">
        <is>
          <t>Torque-arm / universal</t>
        </is>
      </c>
      <c r="H126" s="7" t="inlineStr">
        <is>
          <t>Hollow shaft, keyed</t>
        </is>
      </c>
      <c r="I126" s="7" t="inlineStr">
        <is>
          <t>IEC motor adaptor/input</t>
        </is>
      </c>
      <c r="J126" s="7" t="n">
        <v>1</v>
      </c>
      <c r="K126" s="8" t="inlineStr">
        <is>
          <t>YPP 52-TL i=9.997 + IEC 90 B5</t>
        </is>
      </c>
      <c r="L126" s="9">
        <f>ROUND(294.0*(1-$O$3),2)</f>
        <v/>
      </c>
      <c r="M126" s="10">
        <f>J126*L126</f>
        <v/>
      </c>
      <c r="N126" s="11" t="n"/>
      <c r="O126" s="12" t="inlineStr">
        <is>
          <t>Include torque arm; quote shrink-disc option | Catalogue ratio i=9.997 (n2≈140 rpm), Sf 1.98 at 1.5 kW; YP torque arm not in price list – TBC | Options (list → net): Shrink disc €60.00 → €39.00</t>
        </is>
      </c>
    </row>
    <row r="127">
      <c r="A127" s="13" t="inlineStr">
        <is>
          <t>GB-122</t>
        </is>
      </c>
      <c r="B127" s="13" t="inlineStr">
        <is>
          <t>Parallel Shaft</t>
        </is>
      </c>
      <c r="C127" s="13" t="inlineStr">
        <is>
          <t>F / Equivalent</t>
        </is>
      </c>
      <c r="D127" s="13" t="inlineStr">
        <is>
          <t>Supplier selection</t>
        </is>
      </c>
      <c r="E127" s="13" t="n">
        <v>1.5</v>
      </c>
      <c r="F127" s="13" t="inlineStr">
        <is>
          <t>1:20</t>
        </is>
      </c>
      <c r="G127" s="13" t="inlineStr">
        <is>
          <t>Torque-arm / universal</t>
        </is>
      </c>
      <c r="H127" s="13" t="inlineStr">
        <is>
          <t>Hollow shaft, keyed</t>
        </is>
      </c>
      <c r="I127" s="13" t="inlineStr">
        <is>
          <t>IEC motor adaptor/input</t>
        </is>
      </c>
      <c r="J127" s="13" t="n">
        <v>1</v>
      </c>
      <c r="K127" s="8" t="inlineStr">
        <is>
          <t>YPP 62-TL i=20.18 + IEC 90 B5</t>
        </is>
      </c>
      <c r="L127" s="9">
        <f>ROUND(396.0*(1-$O$3),2)</f>
        <v/>
      </c>
      <c r="M127" s="10">
        <f>J127*L127</f>
        <v/>
      </c>
      <c r="N127" s="11" t="n"/>
      <c r="O127" s="12" t="inlineStr">
        <is>
          <t>Include torque arm; quote shrink-disc option | Catalogue ratio i=20.18 (n2≈69 rpm), Sf 2.1 at 1.5 kW; YP torque arm not in price list – TBC | Options (list → net): Shrink disc €68.00 → €44.20</t>
        </is>
      </c>
    </row>
    <row r="128">
      <c r="A128" s="7" t="inlineStr">
        <is>
          <t>GB-123</t>
        </is>
      </c>
      <c r="B128" s="7" t="inlineStr">
        <is>
          <t>Parallel Shaft</t>
        </is>
      </c>
      <c r="C128" s="7" t="inlineStr">
        <is>
          <t>F / Equivalent</t>
        </is>
      </c>
      <c r="D128" s="7" t="inlineStr">
        <is>
          <t>Supplier selection</t>
        </is>
      </c>
      <c r="E128" s="7" t="n">
        <v>2.2</v>
      </c>
      <c r="F128" s="7" t="inlineStr">
        <is>
          <t>1:15</t>
        </is>
      </c>
      <c r="G128" s="7" t="inlineStr">
        <is>
          <t>Torque-arm / universal</t>
        </is>
      </c>
      <c r="H128" s="7" t="inlineStr">
        <is>
          <t>Hollow shaft, keyed</t>
        </is>
      </c>
      <c r="I128" s="7" t="inlineStr">
        <is>
          <t>IEC motor adaptor/input</t>
        </is>
      </c>
      <c r="J128" s="7" t="n">
        <v>1</v>
      </c>
      <c r="K128" s="8" t="inlineStr">
        <is>
          <t>YPP 62-TL i=14.78 + IEC 100 B5</t>
        </is>
      </c>
      <c r="L128" s="9">
        <f>ROUND(411.0*(1-$O$3),2)</f>
        <v/>
      </c>
      <c r="M128" s="10">
        <f>J128*L128</f>
        <v/>
      </c>
      <c r="N128" s="11" t="n"/>
      <c r="O128" s="12" t="inlineStr">
        <is>
          <t>Include torque arm; quote shrink-disc option | Catalogue ratio i=14.78 (n2≈95 rpm), Sf 1.85 at 2.2 kW; YP torque arm not in price list – TBC | Options (list → net): Shrink disc €68.00 → €44.20</t>
        </is>
      </c>
    </row>
    <row r="129">
      <c r="A129" s="13" t="inlineStr">
        <is>
          <t>GB-124</t>
        </is>
      </c>
      <c r="B129" s="13" t="inlineStr">
        <is>
          <t>Parallel Shaft</t>
        </is>
      </c>
      <c r="C129" s="13" t="inlineStr">
        <is>
          <t>F / Equivalent</t>
        </is>
      </c>
      <c r="D129" s="13" t="inlineStr">
        <is>
          <t>Supplier selection</t>
        </is>
      </c>
      <c r="E129" s="13" t="n">
        <v>2.2</v>
      </c>
      <c r="F129" s="13" t="inlineStr">
        <is>
          <t>1:30</t>
        </is>
      </c>
      <c r="G129" s="13" t="inlineStr">
        <is>
          <t>Torque-arm / universal</t>
        </is>
      </c>
      <c r="H129" s="13" t="inlineStr">
        <is>
          <t>Hollow shaft, keyed</t>
        </is>
      </c>
      <c r="I129" s="13" t="inlineStr">
        <is>
          <t>IEC motor adaptor/input</t>
        </is>
      </c>
      <c r="J129" s="13" t="n">
        <v>1</v>
      </c>
      <c r="K129" s="8" t="inlineStr">
        <is>
          <t>YPP 73-TL i=29.69 + IEC 100 B5</t>
        </is>
      </c>
      <c r="L129" s="9">
        <f>ROUND(609.0*(1-$O$3),2)</f>
        <v/>
      </c>
      <c r="M129" s="10">
        <f>J129*L129</f>
        <v/>
      </c>
      <c r="N129" s="11" t="n"/>
      <c r="O129" s="12" t="inlineStr">
        <is>
          <t>Include torque arm; quote shrink-disc option | Catalogue ratio i=29.69 (n2≈47 rpm), Sf 1.85 at 2.2 kW; YP torque arm not in price list – TBC | Options (list → net): Shrink disc €103.00 → €66.95</t>
        </is>
      </c>
    </row>
    <row r="130">
      <c r="A130" s="7" t="inlineStr">
        <is>
          <t>GB-125</t>
        </is>
      </c>
      <c r="B130" s="7" t="inlineStr">
        <is>
          <t>Parallel Shaft</t>
        </is>
      </c>
      <c r="C130" s="7" t="inlineStr">
        <is>
          <t>F / Equivalent</t>
        </is>
      </c>
      <c r="D130" s="7" t="inlineStr">
        <is>
          <t>Supplier selection</t>
        </is>
      </c>
      <c r="E130" s="7" t="n">
        <v>3</v>
      </c>
      <c r="F130" s="7" t="inlineStr">
        <is>
          <t>1:20</t>
        </is>
      </c>
      <c r="G130" s="7" t="inlineStr">
        <is>
          <t>Torque-arm / universal</t>
        </is>
      </c>
      <c r="H130" s="7" t="inlineStr">
        <is>
          <t>Hollow shaft, keyed</t>
        </is>
      </c>
      <c r="I130" s="7" t="inlineStr">
        <is>
          <t>IEC motor adaptor/input</t>
        </is>
      </c>
      <c r="J130" s="7" t="n">
        <v>1</v>
      </c>
      <c r="K130" s="8" t="inlineStr">
        <is>
          <t>YPP 72-TL i=19.89 + IEC 100 B5</t>
        </is>
      </c>
      <c r="L130" s="9">
        <f>ROUND(589.0*(1-$O$3),2)</f>
        <v/>
      </c>
      <c r="M130" s="10">
        <f>J130*L130</f>
        <v/>
      </c>
      <c r="N130" s="11" t="n"/>
      <c r="O130" s="12" t="inlineStr">
        <is>
          <t>Include torque arm; quote shrink-disc option | Catalogue ratio i=19.89 (n2≈70 rpm), Sf 2.1 at 3 kW; YP torque arm not in price list – TBC | Options (list → net): Shrink disc €103.00 → €66.95</t>
        </is>
      </c>
    </row>
    <row r="131">
      <c r="A131" s="13" t="inlineStr">
        <is>
          <t>GB-126</t>
        </is>
      </c>
      <c r="B131" s="13" t="inlineStr">
        <is>
          <t>Parallel Shaft</t>
        </is>
      </c>
      <c r="C131" s="13" t="inlineStr">
        <is>
          <t>F / Equivalent</t>
        </is>
      </c>
      <c r="D131" s="13" t="inlineStr">
        <is>
          <t>Supplier selection</t>
        </is>
      </c>
      <c r="E131" s="13" t="n">
        <v>3</v>
      </c>
      <c r="F131" s="13" t="inlineStr">
        <is>
          <t>1:40</t>
        </is>
      </c>
      <c r="G131" s="13" t="inlineStr">
        <is>
          <t>Torque-arm / universal</t>
        </is>
      </c>
      <c r="H131" s="13" t="inlineStr">
        <is>
          <t>Hollow shaft, keyed</t>
        </is>
      </c>
      <c r="I131" s="13" t="inlineStr">
        <is>
          <t>IEC motor adaptor/input</t>
        </is>
      </c>
      <c r="J131" s="13" t="n">
        <v>1</v>
      </c>
      <c r="K131" s="8" t="inlineStr">
        <is>
          <t>YPP 83-TL i=42.58 + IEC 100 B5</t>
        </is>
      </c>
      <c r="L131" s="9">
        <f>ROUND(919.0*(1-$O$3),2)</f>
        <v/>
      </c>
      <c r="M131" s="10">
        <f>J131*L131</f>
        <v/>
      </c>
      <c r="N131" s="11" t="n"/>
      <c r="O131" s="12" t="inlineStr">
        <is>
          <t>Include torque arm; quote shrink-disc option | Catalogue ratio i=42.58 (n2≈33 rpm), Sf 1.85 at 3 kW; YP torque arm not in price list – TBC | Options (list → net): Shrink disc €162.00 → €105.30</t>
        </is>
      </c>
    </row>
    <row r="132">
      <c r="A132" s="7" t="inlineStr">
        <is>
          <t>GB-127</t>
        </is>
      </c>
      <c r="B132" s="7" t="inlineStr">
        <is>
          <t>Parallel Shaft</t>
        </is>
      </c>
      <c r="C132" s="7" t="inlineStr">
        <is>
          <t>F / Equivalent</t>
        </is>
      </c>
      <c r="D132" s="7" t="inlineStr">
        <is>
          <t>Supplier selection</t>
        </is>
      </c>
      <c r="E132" s="7" t="n">
        <v>4</v>
      </c>
      <c r="F132" s="7" t="inlineStr">
        <is>
          <t>1:20</t>
        </is>
      </c>
      <c r="G132" s="7" t="inlineStr">
        <is>
          <t>Torque-arm / universal</t>
        </is>
      </c>
      <c r="H132" s="7" t="inlineStr">
        <is>
          <t>Hollow shaft, keyed</t>
        </is>
      </c>
      <c r="I132" s="7" t="inlineStr">
        <is>
          <t>IEC motor adaptor/input</t>
        </is>
      </c>
      <c r="J132" s="7" t="n">
        <v>1</v>
      </c>
      <c r="K132" s="8" t="inlineStr">
        <is>
          <t>YPP 72-TL i=19.89 + IEC 112 B5</t>
        </is>
      </c>
      <c r="L132" s="9">
        <f>ROUND(589.0*(1-$O$3),2)</f>
        <v/>
      </c>
      <c r="M132" s="10">
        <f>J132*L132</f>
        <v/>
      </c>
      <c r="N132" s="11" t="n"/>
      <c r="O132" s="12" t="inlineStr">
        <is>
          <t>Include torque arm; quote shrink-disc option | Catalogue ratio i=19.89 (n2≈70 rpm), Sf 1.57 at 4 kW; YP torque arm not in price list – TBC | Options (list → net): Shrink disc €103.00 → €66.95</t>
        </is>
      </c>
    </row>
    <row r="133">
      <c r="A133" s="13" t="inlineStr">
        <is>
          <t>GB-128</t>
        </is>
      </c>
      <c r="B133" s="13" t="inlineStr">
        <is>
          <t>Parallel Shaft</t>
        </is>
      </c>
      <c r="C133" s="13" t="inlineStr">
        <is>
          <t>F / Equivalent</t>
        </is>
      </c>
      <c r="D133" s="13" t="inlineStr">
        <is>
          <t>Supplier selection</t>
        </is>
      </c>
      <c r="E133" s="13" t="n">
        <v>4</v>
      </c>
      <c r="F133" s="13" t="inlineStr">
        <is>
          <t>1:30</t>
        </is>
      </c>
      <c r="G133" s="13" t="inlineStr">
        <is>
          <t>Torque-arm / universal</t>
        </is>
      </c>
      <c r="H133" s="13" t="inlineStr">
        <is>
          <t>Hollow shaft, keyed</t>
        </is>
      </c>
      <c r="I133" s="13" t="inlineStr">
        <is>
          <t>IEC motor adaptor/input</t>
        </is>
      </c>
      <c r="J133" s="13" t="n">
        <v>1</v>
      </c>
      <c r="K133" s="8" t="inlineStr">
        <is>
          <t>YPP 83-TL i=30.34 + IEC 112 B5</t>
        </is>
      </c>
      <c r="L133" s="9">
        <f>ROUND(919.0*(1-$O$3),2)</f>
        <v/>
      </c>
      <c r="M133" s="10">
        <f>J133*L133</f>
        <v/>
      </c>
      <c r="N133" s="11" t="n"/>
      <c r="O133" s="12" t="inlineStr">
        <is>
          <t>Include torque arm; quote shrink-disc option | Catalogue ratio i=30.34 (n2≈46 rpm), Sf 1.95 at 4 kW; YP torque arm not in price list – TBC | Options (list → net): Shrink disc €162.00 → €105.30</t>
        </is>
      </c>
    </row>
    <row r="134">
      <c r="A134" s="7" t="inlineStr">
        <is>
          <t>GB-129</t>
        </is>
      </c>
      <c r="B134" s="7" t="inlineStr">
        <is>
          <t>Parallel Shaft</t>
        </is>
      </c>
      <c r="C134" s="7" t="inlineStr">
        <is>
          <t>F / Equivalent</t>
        </is>
      </c>
      <c r="D134" s="7" t="inlineStr">
        <is>
          <t>Supplier selection</t>
        </is>
      </c>
      <c r="E134" s="7" t="n">
        <v>5.5</v>
      </c>
      <c r="F134" s="7" t="inlineStr">
        <is>
          <t>1:20</t>
        </is>
      </c>
      <c r="G134" s="7" t="inlineStr">
        <is>
          <t>Torque-arm / universal</t>
        </is>
      </c>
      <c r="H134" s="7" t="inlineStr">
        <is>
          <t>Hollow shaft, keyed</t>
        </is>
      </c>
      <c r="I134" s="7" t="inlineStr">
        <is>
          <t>IEC motor adaptor/input</t>
        </is>
      </c>
      <c r="J134" s="7" t="n">
        <v>1</v>
      </c>
      <c r="K134" s="8" t="inlineStr">
        <is>
          <t>YPP 82-TL i=20.69 + IEC 132 B5</t>
        </is>
      </c>
      <c r="L134" s="9">
        <f>ROUND(904.0*(1-$O$3),2)</f>
        <v/>
      </c>
      <c r="M134" s="10">
        <f>J134*L134</f>
        <v/>
      </c>
      <c r="N134" s="11" t="n"/>
      <c r="O134" s="12" t="inlineStr">
        <is>
          <t>Include torque arm; quote shrink-disc option | Catalogue ratio i=20.69 (n2≈68 rpm), Sf 1.69 at 5.5 kW; YP torque arm not in price list – TBC | Options (list → net): Shrink disc €162.00 → €105.30</t>
        </is>
      </c>
    </row>
    <row r="135">
      <c r="A135" s="13" t="inlineStr">
        <is>
          <t>GB-130</t>
        </is>
      </c>
      <c r="B135" s="13" t="inlineStr">
        <is>
          <t>Parallel Shaft</t>
        </is>
      </c>
      <c r="C135" s="13" t="inlineStr">
        <is>
          <t>F / Equivalent</t>
        </is>
      </c>
      <c r="D135" s="13" t="inlineStr">
        <is>
          <t>Supplier selection</t>
        </is>
      </c>
      <c r="E135" s="13" t="n">
        <v>5.5</v>
      </c>
      <c r="F135" s="13" t="inlineStr">
        <is>
          <t>1:40</t>
        </is>
      </c>
      <c r="G135" s="13" t="inlineStr">
        <is>
          <t>Torque-arm / universal</t>
        </is>
      </c>
      <c r="H135" s="13" t="inlineStr">
        <is>
          <t>Hollow shaft, keyed</t>
        </is>
      </c>
      <c r="I135" s="13" t="inlineStr">
        <is>
          <t>IEC motor adaptor/input</t>
        </is>
      </c>
      <c r="J135" s="13" t="n">
        <v>1</v>
      </c>
      <c r="K135" s="8" t="inlineStr">
        <is>
          <t>YPP 93-TL i=40.62 + IEC 132 B5</t>
        </is>
      </c>
      <c r="L135" s="9">
        <f>ROUND(1375.0*(1-$O$3),2)</f>
        <v/>
      </c>
      <c r="M135" s="10">
        <f>J135*L135</f>
        <v/>
      </c>
      <c r="N135" s="11" t="n"/>
      <c r="O135" s="12" t="inlineStr">
        <is>
          <t>Include torque arm; quote shrink-disc option | Catalogue ratio i=40.62 (n2≈34 rpm), Sf 1.92 at 5.5 kW; YP torque arm not in price list – TBC | Options (list → net): Shrink disc €213.00 → €138.45</t>
        </is>
      </c>
    </row>
    <row r="136">
      <c r="A136" s="7" t="inlineStr">
        <is>
          <t>GB-131</t>
        </is>
      </c>
      <c r="B136" s="7" t="inlineStr">
        <is>
          <t>Parallel Shaft</t>
        </is>
      </c>
      <c r="C136" s="7" t="inlineStr">
        <is>
          <t>F / Equivalent</t>
        </is>
      </c>
      <c r="D136" s="7" t="inlineStr">
        <is>
          <t>Supplier selection</t>
        </is>
      </c>
      <c r="E136" s="7" t="n">
        <v>7.5</v>
      </c>
      <c r="F136" s="7" t="inlineStr">
        <is>
          <t>1:25</t>
        </is>
      </c>
      <c r="G136" s="7" t="inlineStr">
        <is>
          <t>B3 foot</t>
        </is>
      </c>
      <c r="H136" s="7" t="inlineStr">
        <is>
          <t>Solid output shaft</t>
        </is>
      </c>
      <c r="I136" s="7" t="inlineStr">
        <is>
          <t>IEC motor adaptor/input</t>
        </is>
      </c>
      <c r="J136" s="7" t="n">
        <v>1</v>
      </c>
      <c r="K136" s="8" t="inlineStr">
        <is>
          <t>YPP 92-SL i=26.19 + IEC 132 B5 (foot mounted)</t>
        </is>
      </c>
      <c r="L136" s="9">
        <f>ROUND(1362.0*(1-$O$3),2)</f>
        <v/>
      </c>
      <c r="M136" s="10">
        <f>J136*L136</f>
        <v/>
      </c>
      <c r="N136" s="11" t="n"/>
      <c r="O136" s="12" t="inlineStr">
        <is>
          <t>Quote output flange option | Catalogue ratio i=26.19 (n2≈53 rpm), Sf 2.1 at 7.5 kW | Options (list → net): Output flange €62.00 → €40.30</t>
        </is>
      </c>
    </row>
    <row r="137">
      <c r="A137" s="13" t="inlineStr">
        <is>
          <t>GB-132</t>
        </is>
      </c>
      <c r="B137" s="13" t="inlineStr">
        <is>
          <t>Parallel Shaft</t>
        </is>
      </c>
      <c r="C137" s="13" t="inlineStr">
        <is>
          <t>F / Equivalent</t>
        </is>
      </c>
      <c r="D137" s="13" t="inlineStr">
        <is>
          <t>Supplier selection</t>
        </is>
      </c>
      <c r="E137" s="13" t="n">
        <v>11</v>
      </c>
      <c r="F137" s="13" t="inlineStr">
        <is>
          <t>1:30</t>
        </is>
      </c>
      <c r="G137" s="13" t="inlineStr">
        <is>
          <t>B3 foot</t>
        </is>
      </c>
      <c r="H137" s="13" t="inlineStr">
        <is>
          <t>Solid output shaft</t>
        </is>
      </c>
      <c r="I137" s="13" t="inlineStr">
        <is>
          <t>IEC motor adaptor/input</t>
        </is>
      </c>
      <c r="J137" s="13" t="n">
        <v>1</v>
      </c>
      <c r="K137" s="8" t="inlineStr">
        <is>
          <t>YPP 103-SL i=28.84 + IEC 160 B5 (foot mounted)</t>
        </is>
      </c>
      <c r="L137" s="9">
        <f>ROUND(2200.0*(1-$O$3),2)</f>
        <v/>
      </c>
      <c r="M137" s="10">
        <f>J137*L137</f>
        <v/>
      </c>
      <c r="N137" s="11" t="n"/>
      <c r="O137" s="12" t="inlineStr">
        <is>
          <t>Quote output flange option | Catalogue ratio i=28.84 (n2≈49 rpm), Sf 1.94 at 11 kW | Options (list → net): Output flange €115.00 → €74.75</t>
        </is>
      </c>
    </row>
    <row r="138">
      <c r="A138" s="7" t="inlineStr">
        <is>
          <t>GB-133</t>
        </is>
      </c>
      <c r="B138" s="7" t="inlineStr">
        <is>
          <t>Parallel Shaft</t>
        </is>
      </c>
      <c r="C138" s="7" t="inlineStr">
        <is>
          <t>F / Equivalent</t>
        </is>
      </c>
      <c r="D138" s="7" t="inlineStr">
        <is>
          <t>Supplier selection</t>
        </is>
      </c>
      <c r="E138" s="7" t="n">
        <v>15</v>
      </c>
      <c r="F138" s="7" t="inlineStr">
        <is>
          <t>1:40</t>
        </is>
      </c>
      <c r="G138" s="7" t="inlineStr">
        <is>
          <t>B3 foot</t>
        </is>
      </c>
      <c r="H138" s="7" t="inlineStr">
        <is>
          <t>Solid output shaft</t>
        </is>
      </c>
      <c r="I138" s="7" t="inlineStr">
        <is>
          <t>IEC motor adaptor/input</t>
        </is>
      </c>
      <c r="J138" s="7" t="n">
        <v>1</v>
      </c>
      <c r="K138" s="8" t="inlineStr">
        <is>
          <t>YPP 123-SL i=40.73 + IEC 160 B5 (foot mounted)</t>
        </is>
      </c>
      <c r="L138" s="9">
        <f>ROUND(2997.0*(1-$O$3),2)</f>
        <v/>
      </c>
      <c r="M138" s="10">
        <f>J138*L138</f>
        <v/>
      </c>
      <c r="N138" s="11" t="n"/>
      <c r="O138" s="12" t="inlineStr">
        <is>
          <t>Quote output flange option | Catalogue ratio i=40.73 (n2≈34 rpm), Sf 1.83 at 15 kW | Options (list → net): Output flange €174.00 → €113.10</t>
        </is>
      </c>
    </row>
    <row r="139">
      <c r="A139" s="13" t="inlineStr">
        <is>
          <t>GB-134</t>
        </is>
      </c>
      <c r="B139" s="13" t="inlineStr">
        <is>
          <t>Parallel Shaft</t>
        </is>
      </c>
      <c r="C139" s="13" t="inlineStr">
        <is>
          <t>F / Equivalent</t>
        </is>
      </c>
      <c r="D139" s="13" t="inlineStr">
        <is>
          <t>Supplier selection</t>
        </is>
      </c>
      <c r="E139" s="13" t="n">
        <v>22</v>
      </c>
      <c r="F139" s="13" t="inlineStr">
        <is>
          <t>1:40</t>
        </is>
      </c>
      <c r="G139" s="13" t="inlineStr">
        <is>
          <t>B3 foot</t>
        </is>
      </c>
      <c r="H139" s="13" t="inlineStr">
        <is>
          <t>Solid output shaft</t>
        </is>
      </c>
      <c r="I139" s="13" t="inlineStr">
        <is>
          <t>IEC motor adaptor/input</t>
        </is>
      </c>
      <c r="J139" s="13" t="n">
        <v>1</v>
      </c>
      <c r="K139" s="8" t="inlineStr">
        <is>
          <t>YPP 143-SL i=38.8 + IEC 180 B5 (foot mounted)</t>
        </is>
      </c>
      <c r="L139" s="9">
        <f>ROUND(4830.0*(1-$O$3),2)</f>
        <v/>
      </c>
      <c r="M139" s="10">
        <f>J139*L139</f>
        <v/>
      </c>
      <c r="N139" s="11" t="n"/>
      <c r="O139" s="12" t="inlineStr">
        <is>
          <t>Quote output flange option | Catalogue ratio i=38.8 (n2≈36 rpm), Sf 2.4 at 22 kW | Options (list → net): Output flange €275.00 → €178.75</t>
        </is>
      </c>
    </row>
    <row r="140">
      <c r="A140" s="7" t="inlineStr">
        <is>
          <t>GB-135</t>
        </is>
      </c>
      <c r="B140" s="7" t="inlineStr">
        <is>
          <t>Parallel Shaft</t>
        </is>
      </c>
      <c r="C140" s="7" t="inlineStr">
        <is>
          <t>F / Equivalent</t>
        </is>
      </c>
      <c r="D140" s="7" t="inlineStr">
        <is>
          <t>Supplier selection</t>
        </is>
      </c>
      <c r="E140" s="7" t="n">
        <v>30</v>
      </c>
      <c r="F140" s="7" t="inlineStr">
        <is>
          <t>1:50</t>
        </is>
      </c>
      <c r="G140" s="7" t="inlineStr">
        <is>
          <t>B3 foot</t>
        </is>
      </c>
      <c r="H140" s="7" t="inlineStr">
        <is>
          <t>Solid output shaft</t>
        </is>
      </c>
      <c r="I140" s="7" t="inlineStr">
        <is>
          <t>IEC motor adaptor/input</t>
        </is>
      </c>
      <c r="J140" s="7" t="n">
        <v>1</v>
      </c>
      <c r="K140" s="8" t="inlineStr">
        <is>
          <t>YPP 153-SL i=50.72 + IEC 200 B5 (foot mounted)</t>
        </is>
      </c>
      <c r="L140" s="9">
        <f>ROUND(7083.0*(1-$O$3),2)</f>
        <v/>
      </c>
      <c r="M140" s="10">
        <f>J140*L140</f>
        <v/>
      </c>
      <c r="N140" s="11" t="n"/>
      <c r="O140" s="12" t="inlineStr">
        <is>
          <t>Quote output flange option | Catalogue ratio i=50.72 (n2≈28 rpm), Sf 1.9 at 30 kW | Options (list → net): Output flange €370.00 → €240.50</t>
        </is>
      </c>
    </row>
    <row r="141">
      <c r="A141" s="13" t="inlineStr">
        <is>
          <t>GB-136</t>
        </is>
      </c>
      <c r="B141" s="13" t="inlineStr">
        <is>
          <t>Shaft Mounted Reducer</t>
        </is>
      </c>
      <c r="C141" s="13" t="inlineStr">
        <is>
          <t>SMSR / Equivalent</t>
        </is>
      </c>
      <c r="D141" s="13" t="inlineStr">
        <is>
          <t>Supplier selection</t>
        </is>
      </c>
      <c r="E141" s="13" t="n">
        <v>2.2</v>
      </c>
      <c r="F141" s="13" t="inlineStr">
        <is>
          <t>1:5</t>
        </is>
      </c>
      <c r="G141" s="13" t="inlineStr">
        <is>
          <t>Torque-arm mounted</t>
        </is>
      </c>
      <c r="H141" s="13" t="inlineStr">
        <is>
          <t>Hollow shaft, keyed</t>
        </is>
      </c>
      <c r="I141" s="13" t="inlineStr">
        <is>
          <t>IEC motor adaptor/input</t>
        </is>
      </c>
      <c r="J141" s="13" t="n">
        <v>1</v>
      </c>
      <c r="K141" s="8" t="inlineStr">
        <is>
          <t>İRNX 01 i=5</t>
        </is>
      </c>
      <c r="L141" s="9">
        <f>ROUND(315*(1-$O$3),2)</f>
        <v/>
      </c>
      <c r="M141" s="10">
        <f>J141*L141</f>
        <v/>
      </c>
      <c r="N141" s="11" t="n"/>
      <c r="O141" s="12" t="inlineStr">
        <is>
          <t>Include torque arm; quote input shaft, pulley and backstop separately | DEVIATION: input shaft for belt drive, no IEC adaptor available; Backstop not available on İRNX 01; Torque arm, pulley and belts – TBC</t>
        </is>
      </c>
    </row>
    <row r="142">
      <c r="A142" s="7" t="inlineStr">
        <is>
          <t>GB-137</t>
        </is>
      </c>
      <c r="B142" s="7" t="inlineStr">
        <is>
          <t>Shaft Mounted Reducer</t>
        </is>
      </c>
      <c r="C142" s="7" t="inlineStr">
        <is>
          <t>SMSR / Equivalent</t>
        </is>
      </c>
      <c r="D142" s="7" t="inlineStr">
        <is>
          <t>Supplier selection</t>
        </is>
      </c>
      <c r="E142" s="7" t="n">
        <v>2.2</v>
      </c>
      <c r="F142" s="7" t="inlineStr">
        <is>
          <t>1:13</t>
        </is>
      </c>
      <c r="G142" s="7" t="inlineStr">
        <is>
          <t>Torque-arm mounted</t>
        </is>
      </c>
      <c r="H142" s="7" t="inlineStr">
        <is>
          <t>Hollow shaft, keyed</t>
        </is>
      </c>
      <c r="I142" s="7" t="inlineStr">
        <is>
          <t>IEC motor adaptor/input</t>
        </is>
      </c>
      <c r="J142" s="7" t="n">
        <v>1</v>
      </c>
      <c r="K142" s="8" t="inlineStr">
        <is>
          <t>İRNX 01 i=13</t>
        </is>
      </c>
      <c r="L142" s="9">
        <f>ROUND(315*(1-$O$3),2)</f>
        <v/>
      </c>
      <c r="M142" s="10">
        <f>J142*L142</f>
        <v/>
      </c>
      <c r="N142" s="11" t="n"/>
      <c r="O142" s="12" t="inlineStr">
        <is>
          <t>Include torque arm; quote input shaft, pulley and backstop separately | DEVIATION: input shaft for belt drive, no IEC adaptor available; Backstop not available on İRNX 01; Torque arm, pulley and belts – TBC</t>
        </is>
      </c>
    </row>
    <row r="143">
      <c r="A143" s="13" t="inlineStr">
        <is>
          <t>GB-138</t>
        </is>
      </c>
      <c r="B143" s="13" t="inlineStr">
        <is>
          <t>Shaft Mounted Reducer</t>
        </is>
      </c>
      <c r="C143" s="13" t="inlineStr">
        <is>
          <t>SMSR / Equivalent</t>
        </is>
      </c>
      <c r="D143" s="13" t="inlineStr">
        <is>
          <t>Supplier selection</t>
        </is>
      </c>
      <c r="E143" s="13" t="n">
        <v>4</v>
      </c>
      <c r="F143" s="13" t="inlineStr">
        <is>
          <t>1:10</t>
        </is>
      </c>
      <c r="G143" s="13" t="inlineStr">
        <is>
          <t>Torque-arm mounted</t>
        </is>
      </c>
      <c r="H143" s="13" t="inlineStr">
        <is>
          <t>Hollow shaft, keyed</t>
        </is>
      </c>
      <c r="I143" s="13" t="inlineStr">
        <is>
          <t>IEC motor adaptor/input</t>
        </is>
      </c>
      <c r="J143" s="13" t="n">
        <v>1</v>
      </c>
      <c r="K143" s="8" t="inlineStr">
        <is>
          <t>İRNX 01 i=5 + pulley 1:2 (overall ≈1:10)</t>
        </is>
      </c>
      <c r="L143" s="9">
        <f>ROUND(315*(1-$O$3),2)</f>
        <v/>
      </c>
      <c r="M143" s="10">
        <f>J143*L143</f>
        <v/>
      </c>
      <c r="N143" s="11" t="n"/>
      <c r="O143" s="12" t="inlineStr">
        <is>
          <t>Include torque arm; quote input shaft, pulley and backstop separately | DEVIATION: input shaft for belt drive, no IEC adaptor available; Overall ratio via pulley 1:2; Backstop not available on İRNX 01; Torque arm, pulley and belts – TBC</t>
        </is>
      </c>
    </row>
    <row r="144">
      <c r="A144" s="7" t="inlineStr">
        <is>
          <t>GB-139</t>
        </is>
      </c>
      <c r="B144" s="7" t="inlineStr">
        <is>
          <t>Shaft Mounted Reducer</t>
        </is>
      </c>
      <c r="C144" s="7" t="inlineStr">
        <is>
          <t>SMSR / Equivalent</t>
        </is>
      </c>
      <c r="D144" s="7" t="inlineStr">
        <is>
          <t>Supplier selection</t>
        </is>
      </c>
      <c r="E144" s="7" t="n">
        <v>4</v>
      </c>
      <c r="F144" s="7" t="inlineStr">
        <is>
          <t>1:20</t>
        </is>
      </c>
      <c r="G144" s="7" t="inlineStr">
        <is>
          <t>Torque-arm mounted</t>
        </is>
      </c>
      <c r="H144" s="7" t="inlineStr">
        <is>
          <t>Hollow shaft, keyed</t>
        </is>
      </c>
      <c r="I144" s="7" t="inlineStr">
        <is>
          <t>IEC motor adaptor/input</t>
        </is>
      </c>
      <c r="J144" s="7" t="n">
        <v>1</v>
      </c>
      <c r="K144" s="8" t="inlineStr">
        <is>
          <t>İRNX 02 i=20</t>
        </is>
      </c>
      <c r="L144" s="9">
        <f>ROUND(436*(1-$O$3),2)</f>
        <v/>
      </c>
      <c r="M144" s="10">
        <f>J144*L144</f>
        <v/>
      </c>
      <c r="N144" s="11" t="n"/>
      <c r="O144" s="12" t="inlineStr">
        <is>
          <t>Include torque arm; quote input shaft, pulley and backstop separately | DEVIATION: input shaft for belt drive, no IEC adaptor available; Torque arm, pulley and belts – TBC | Options (list → net): Backstop €149.00 → €96.85</t>
        </is>
      </c>
    </row>
    <row r="145">
      <c r="A145" s="13" t="inlineStr">
        <is>
          <t>GB-140</t>
        </is>
      </c>
      <c r="B145" s="13" t="inlineStr">
        <is>
          <t>Shaft Mounted Reducer</t>
        </is>
      </c>
      <c r="C145" s="13" t="inlineStr">
        <is>
          <t>SMSR / Equivalent</t>
        </is>
      </c>
      <c r="D145" s="13" t="inlineStr">
        <is>
          <t>Supplier selection</t>
        </is>
      </c>
      <c r="E145" s="13" t="n">
        <v>5.5</v>
      </c>
      <c r="F145" s="13" t="inlineStr">
        <is>
          <t>1:13</t>
        </is>
      </c>
      <c r="G145" s="13" t="inlineStr">
        <is>
          <t>Torque-arm mounted</t>
        </is>
      </c>
      <c r="H145" s="13" t="inlineStr">
        <is>
          <t>Hollow shaft, keyed</t>
        </is>
      </c>
      <c r="I145" s="13" t="inlineStr">
        <is>
          <t>IEC motor adaptor/input</t>
        </is>
      </c>
      <c r="J145" s="13" t="n">
        <v>1</v>
      </c>
      <c r="K145" s="8" t="inlineStr">
        <is>
          <t>İRNX 02 i=13</t>
        </is>
      </c>
      <c r="L145" s="9">
        <f>ROUND(436*(1-$O$3),2)</f>
        <v/>
      </c>
      <c r="M145" s="10">
        <f>J145*L145</f>
        <v/>
      </c>
      <c r="N145" s="11" t="n"/>
      <c r="O145" s="12" t="inlineStr">
        <is>
          <t>Include torque arm; quote input shaft, pulley and backstop separately | DEVIATION: input shaft for belt drive, no IEC adaptor available; Torque arm, pulley and belts – TBC | Options (list → net): Backstop €149.00 → €96.85</t>
        </is>
      </c>
    </row>
    <row r="146">
      <c r="A146" s="7" t="inlineStr">
        <is>
          <t>GB-141</t>
        </is>
      </c>
      <c r="B146" s="7" t="inlineStr">
        <is>
          <t>Shaft Mounted Reducer</t>
        </is>
      </c>
      <c r="C146" s="7" t="inlineStr">
        <is>
          <t>SMSR / Equivalent</t>
        </is>
      </c>
      <c r="D146" s="7" t="inlineStr">
        <is>
          <t>Supplier selection</t>
        </is>
      </c>
      <c r="E146" s="7" t="n">
        <v>5.5</v>
      </c>
      <c r="F146" s="7" t="inlineStr">
        <is>
          <t>1:20</t>
        </is>
      </c>
      <c r="G146" s="7" t="inlineStr">
        <is>
          <t>Torque-arm mounted</t>
        </is>
      </c>
      <c r="H146" s="7" t="inlineStr">
        <is>
          <t>Hollow shaft, keyed</t>
        </is>
      </c>
      <c r="I146" s="7" t="inlineStr">
        <is>
          <t>IEC motor adaptor/input</t>
        </is>
      </c>
      <c r="J146" s="7" t="n">
        <v>1</v>
      </c>
      <c r="K146" s="8" t="inlineStr">
        <is>
          <t>İRNX 03 i=21</t>
        </is>
      </c>
      <c r="L146" s="9">
        <f>ROUND(591*(1-$O$3),2)</f>
        <v/>
      </c>
      <c r="M146" s="10">
        <f>J146*L146</f>
        <v/>
      </c>
      <c r="N146" s="11" t="n"/>
      <c r="O146" s="12" t="inlineStr">
        <is>
          <t>Include torque arm; quote input shaft, pulley and backstop separately | DEVIATION: input shaft for belt drive, no IEC adaptor available; Torque arm, pulley and belts – TBC | Options (list → net): Backstop €149.00 → €96.85</t>
        </is>
      </c>
    </row>
    <row r="147">
      <c r="A147" s="13" t="inlineStr">
        <is>
          <t>GB-142</t>
        </is>
      </c>
      <c r="B147" s="13" t="inlineStr">
        <is>
          <t>Shaft Mounted Reducer</t>
        </is>
      </c>
      <c r="C147" s="13" t="inlineStr">
        <is>
          <t>SMSR / Equivalent</t>
        </is>
      </c>
      <c r="D147" s="13" t="inlineStr">
        <is>
          <t>Supplier selection</t>
        </is>
      </c>
      <c r="E147" s="13" t="n">
        <v>7.5</v>
      </c>
      <c r="F147" s="13" t="inlineStr">
        <is>
          <t>1:20</t>
        </is>
      </c>
      <c r="G147" s="13" t="inlineStr">
        <is>
          <t>Torque-arm mounted</t>
        </is>
      </c>
      <c r="H147" s="13" t="inlineStr">
        <is>
          <t>Hollow shaft, keyed</t>
        </is>
      </c>
      <c r="I147" s="13" t="inlineStr">
        <is>
          <t>IEC motor adaptor/input</t>
        </is>
      </c>
      <c r="J147" s="13" t="n">
        <v>1</v>
      </c>
      <c r="K147" s="8" t="inlineStr">
        <is>
          <t>İRNX 04 i=20</t>
        </is>
      </c>
      <c r="L147" s="9">
        <f>ROUND(775*(1-$O$3),2)</f>
        <v/>
      </c>
      <c r="M147" s="10">
        <f>J147*L147</f>
        <v/>
      </c>
      <c r="N147" s="11" t="n"/>
      <c r="O147" s="12" t="inlineStr">
        <is>
          <t>Include torque arm; quote input shaft, pulley and backstop separately | DEVIATION: input shaft for belt drive, no IEC adaptor available; Torque arm, pulley and belts – TBC | Options (list → net): Backstop €197.00 → €128.05</t>
        </is>
      </c>
    </row>
    <row r="148">
      <c r="A148" s="7" t="inlineStr">
        <is>
          <t>GB-143</t>
        </is>
      </c>
      <c r="B148" s="7" t="inlineStr">
        <is>
          <t>Shaft Mounted Reducer</t>
        </is>
      </c>
      <c r="C148" s="7" t="inlineStr">
        <is>
          <t>SMSR / Equivalent</t>
        </is>
      </c>
      <c r="D148" s="7" t="inlineStr">
        <is>
          <t>Supplier selection</t>
        </is>
      </c>
      <c r="E148" s="7" t="n">
        <v>11</v>
      </c>
      <c r="F148" s="7" t="inlineStr">
        <is>
          <t>1:20</t>
        </is>
      </c>
      <c r="G148" s="7" t="inlineStr">
        <is>
          <t>Torque-arm mounted</t>
        </is>
      </c>
      <c r="H148" s="7" t="inlineStr">
        <is>
          <t>Hollow shaft, keyed</t>
        </is>
      </c>
      <c r="I148" s="7" t="inlineStr">
        <is>
          <t>IEC motor adaptor/input</t>
        </is>
      </c>
      <c r="J148" s="7" t="n">
        <v>1</v>
      </c>
      <c r="K148" s="8" t="inlineStr">
        <is>
          <t>İRNX 05 i=21</t>
        </is>
      </c>
      <c r="L148" s="9">
        <f>ROUND(1043*(1-$O$3),2)</f>
        <v/>
      </c>
      <c r="M148" s="10">
        <f>J148*L148</f>
        <v/>
      </c>
      <c r="N148" s="11" t="n"/>
      <c r="O148" s="12" t="inlineStr">
        <is>
          <t>Include torque arm; quote input shaft, pulley and backstop separately | DEVIATION: input shaft for belt drive, no IEC adaptor available; Torque arm, pulley and belts – TBC | Options (list → net): Backstop €197.00 → €128.05</t>
        </is>
      </c>
    </row>
    <row r="149">
      <c r="A149" s="13" t="inlineStr">
        <is>
          <t>GB-144</t>
        </is>
      </c>
      <c r="B149" s="13" t="inlineStr">
        <is>
          <t>Shaft Mounted Reducer</t>
        </is>
      </c>
      <c r="C149" s="13" t="inlineStr">
        <is>
          <t>SMSR / Equivalent</t>
        </is>
      </c>
      <c r="D149" s="13" t="inlineStr">
        <is>
          <t>Supplier selection</t>
        </is>
      </c>
      <c r="E149" s="13" t="n">
        <v>15</v>
      </c>
      <c r="F149" s="13" t="inlineStr">
        <is>
          <t>1:25</t>
        </is>
      </c>
      <c r="G149" s="13" t="inlineStr">
        <is>
          <t>Torque-arm mounted</t>
        </is>
      </c>
      <c r="H149" s="13" t="inlineStr">
        <is>
          <t>Hollow shaft, keyed</t>
        </is>
      </c>
      <c r="I149" s="13" t="inlineStr">
        <is>
          <t>IEC motor adaptor/input</t>
        </is>
      </c>
      <c r="J149" s="13" t="n">
        <v>1</v>
      </c>
      <c r="K149" s="8" t="inlineStr">
        <is>
          <t>İRNX 06 i=13 + pulley 1:2 (overall ≈1:26)</t>
        </is>
      </c>
      <c r="L149" s="9">
        <f>ROUND(1386*(1-$O$3),2)</f>
        <v/>
      </c>
      <c r="M149" s="10">
        <f>J149*L149</f>
        <v/>
      </c>
      <c r="N149" s="11" t="n"/>
      <c r="O149" s="12" t="inlineStr">
        <is>
          <t>Include torque arm; quote input shaft, pulley and backstop separately | DEVIATION: input shaft for belt drive, no IEC adaptor available; Overall ratio via pulley 1:2; Torque arm, pulley and belts – TBC | Options (list → net): Backstop €245.00 → €159.25</t>
        </is>
      </c>
    </row>
    <row r="150">
      <c r="A150" s="7" t="inlineStr">
        <is>
          <t>GB-145</t>
        </is>
      </c>
      <c r="B150" s="7" t="inlineStr">
        <is>
          <t>Shaft Mounted Reducer</t>
        </is>
      </c>
      <c r="C150" s="7" t="inlineStr">
        <is>
          <t>SMSR / Equivalent</t>
        </is>
      </c>
      <c r="D150" s="7" t="inlineStr">
        <is>
          <t>Supplier selection</t>
        </is>
      </c>
      <c r="E150" s="7" t="n">
        <v>30</v>
      </c>
      <c r="F150" s="7" t="inlineStr">
        <is>
          <t>1:25</t>
        </is>
      </c>
      <c r="G150" s="7" t="inlineStr">
        <is>
          <t>Torque-arm mounted</t>
        </is>
      </c>
      <c r="H150" s="7" t="inlineStr">
        <is>
          <t>Hollow shaft, keyed</t>
        </is>
      </c>
      <c r="I150" s="7" t="inlineStr">
        <is>
          <t>IEC motor adaptor/input</t>
        </is>
      </c>
      <c r="J150" s="7" t="n">
        <v>1</v>
      </c>
      <c r="K150" s="8" t="inlineStr">
        <is>
          <t>İRNX 08 i=13 + pulley 1:2 (overall ≈1:26)</t>
        </is>
      </c>
      <c r="L150" s="9">
        <f>ROUND(3599*(1-$O$3),2)</f>
        <v/>
      </c>
      <c r="M150" s="10">
        <f>J150*L150</f>
        <v/>
      </c>
      <c r="N150" s="11" t="n"/>
      <c r="O150" s="12" t="inlineStr">
        <is>
          <t>Include torque arm; quote input shaft, pulley and backstop separately | DEVIATION: input shaft for belt drive, no IEC adaptor available; Overall ratio via pulley 1:2; Torque arm, pulley and belts – TBC | Options (list → net): Backstop €351.00 → €228.15</t>
        </is>
      </c>
    </row>
    <row r="151">
      <c r="J151" s="14">
        <f>SUM(J6:J150)</f>
        <v/>
      </c>
      <c r="K151" s="14" t="inlineStr">
        <is>
          <t>TOTAL (gear units, net)</t>
        </is>
      </c>
      <c r="M151" s="15">
        <f>SUM(M6:M150)</f>
        <v/>
      </c>
    </row>
  </sheetData>
  <autoFilter ref="A5:O150"/>
  <mergeCells count="2">
    <mergeCell ref="A1:O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2026-09-24T13:48:18Z</dcterms:created>
  <dcterms:modified xsi:type="dcterms:W3CDTF">2026-09-24T13:48:19Z</dcterms:modified>
</cp:coreProperties>
</file>