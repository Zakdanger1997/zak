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Formula library" sheetId="2" state="visible" r:id="rId2"/>
    <sheet name="Variables &amp; defaults" sheetId="3" state="visible" r:id="rId3"/>
    <sheet name="Constants &amp; SF logic" sheetId="4" state="visible" r:id="rId4"/>
    <sheet name="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E11D13"/>
      </patternFill>
    </fill>
    <fill>
      <patternFill patternType="solid">
        <fgColor rgb="00262B32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2" customWidth="1" min="3" max="3"/>
    <col width="11" customWidth="1" min="4" max="4"/>
    <col width="11" customWidth="1" min="5" max="5"/>
    <col width="12" customWidth="1" min="6" max="6"/>
    <col width="12" customWidth="1" min="7" max="7"/>
    <col width="7" customWidth="1" min="8" max="8"/>
    <col width="34" customWidth="1" min="9" max="9"/>
    <col width="18" customWidth="1" min="10" max="10"/>
    <col width="30" customWidth="1" min="11" max="11"/>
    <col width="30" customWidth="1" min="12" max="12"/>
    <col width="30" customWidth="1" min="13" max="13"/>
  </cols>
  <sheetData>
    <row r="1" ht="30" customHeight="1">
      <c r="A1" s="1" t="inlineStr">
        <is>
          <t>I-MAK GEARBOX SELECTOR — Applications &amp; assigned formulas</t>
        </is>
      </c>
    </row>
    <row r="2">
      <c r="A2" s="2" t="inlineStr">
        <is>
          <t>#</t>
        </is>
      </c>
      <c r="B2" s="2" t="inlineStr">
        <is>
          <t>Group</t>
        </is>
      </c>
      <c r="C2" s="2" t="inlineStr">
        <is>
          <t>Application</t>
        </is>
      </c>
      <c r="D2" s="2" t="inlineStr">
        <is>
          <t>Formula key</t>
        </is>
      </c>
      <c r="E2" s="2" t="inlineStr">
        <is>
          <t>SF ≤3 h/day</t>
        </is>
      </c>
      <c r="F2" s="2" t="inlineStr">
        <is>
          <t>SF 3–10 h/day</t>
        </is>
      </c>
      <c r="G2" s="2" t="inlineStr">
        <is>
          <t>SF &gt;10 h/day</t>
        </is>
      </c>
      <c r="H2" s="2" t="inlineStr">
        <is>
          <t>Drive η</t>
        </is>
      </c>
      <c r="I2" s="2" t="inlineStr">
        <is>
          <t>Output power / torque formula</t>
        </is>
      </c>
      <c r="J2" s="2" t="inlineStr">
        <is>
          <t>Output speed n₂</t>
        </is>
      </c>
      <c r="K2" s="2" t="inlineStr">
        <is>
          <t>Suggested gearbox type</t>
        </is>
      </c>
      <c r="L2" s="2" t="inlineStr">
        <is>
          <t>I-MAK product</t>
        </is>
      </c>
      <c r="M2" s="2" t="inlineStr">
        <is>
          <t>Sizing notes / flags</t>
        </is>
      </c>
    </row>
    <row r="3">
      <c r="A3" s="3" t="n">
        <v>1</v>
      </c>
      <c r="B3" s="3" t="inlineStr">
        <is>
          <t>Conveying / Handling</t>
        </is>
      </c>
      <c r="C3" s="4" t="inlineStr">
        <is>
          <t>Belt conveyor — uniform feed</t>
        </is>
      </c>
      <c r="D3" s="3" t="inlineStr">
        <is>
          <t>belt</t>
        </is>
      </c>
      <c r="E3" s="3" t="n">
        <v>1</v>
      </c>
      <c r="F3" s="3" t="n">
        <v>1.25</v>
      </c>
      <c r="G3" s="3" t="n">
        <v>1.5</v>
      </c>
      <c r="H3" s="3" t="n">
        <v>0.96</v>
      </c>
      <c r="I3" s="3" t="inlineStr">
        <is>
          <t>P = (1+k)·(g/3600)·Q·(H+f·L)</t>
        </is>
      </c>
      <c r="J3" s="3" t="inlineStr">
        <is>
          <t>n₂ = 60·v / (π·D)</t>
        </is>
      </c>
      <c r="K3" s="3" t="inlineStr">
        <is>
          <t>Right-angle helical-bevel</t>
        </is>
      </c>
      <c r="L3" s="3" t="inlineStr">
        <is>
          <t>Helical-bevel geared motor</t>
        </is>
      </c>
      <c r="M3" s="3" t="inlineStr">
        <is>
          <t>overhung load</t>
        </is>
      </c>
    </row>
    <row r="4">
      <c r="A4" s="5" t="n">
        <v>2</v>
      </c>
      <c r="B4" s="5" t="inlineStr">
        <is>
          <t>Conveying / Handling</t>
        </is>
      </c>
      <c r="C4" s="6" t="inlineStr">
        <is>
          <t>Belt conveyor — not uniformly fed</t>
        </is>
      </c>
      <c r="D4" s="5" t="inlineStr">
        <is>
          <t>belt</t>
        </is>
      </c>
      <c r="E4" s="5" t="n">
        <v>1.15</v>
      </c>
      <c r="F4" s="5" t="n">
        <v>1.3</v>
      </c>
      <c r="G4" s="5" t="n">
        <v>1.5</v>
      </c>
      <c r="H4" s="5" t="n">
        <v>0.96</v>
      </c>
      <c r="I4" s="5" t="inlineStr">
        <is>
          <t>P = (1+k)·(g/3600)·Q·(H+f·L)</t>
        </is>
      </c>
      <c r="J4" s="5" t="inlineStr">
        <is>
          <t>n₂ = 60·v / (π·D)</t>
        </is>
      </c>
      <c r="K4" s="5" t="inlineStr">
        <is>
          <t>Right-angle helical-bevel</t>
        </is>
      </c>
      <c r="L4" s="5" t="inlineStr">
        <is>
          <t>Helical-bevel geared motor</t>
        </is>
      </c>
      <c r="M4" s="5" t="inlineStr">
        <is>
          <t>overhung load</t>
        </is>
      </c>
    </row>
    <row r="5">
      <c r="A5" s="3" t="n">
        <v>3</v>
      </c>
      <c r="B5" s="3" t="inlineStr">
        <is>
          <t>Conveying / Handling</t>
        </is>
      </c>
      <c r="C5" s="4" t="inlineStr">
        <is>
          <t>Screw conveyor / feeder</t>
        </is>
      </c>
      <c r="D5" s="3" t="inlineStr">
        <is>
          <t>screw</t>
        </is>
      </c>
      <c r="E5" s="3" t="n">
        <v>1.15</v>
      </c>
      <c r="F5" s="3" t="n">
        <v>1.25</v>
      </c>
      <c r="G5" s="3" t="n">
        <v>1.5</v>
      </c>
      <c r="H5" s="3" t="n">
        <v>0.96</v>
      </c>
      <c r="I5" s="3" t="inlineStr">
        <is>
          <t>P = Q·(L·Fm + H) / 367</t>
        </is>
      </c>
      <c r="J5" s="3" t="inlineStr">
        <is>
          <t>n₂ = screw rpm</t>
        </is>
      </c>
      <c r="K5" s="3" t="inlineStr">
        <is>
          <t>Inline / shaft-mounted helical</t>
        </is>
      </c>
      <c r="L5" s="3" t="inlineStr">
        <is>
          <t>Helical geared motor</t>
        </is>
      </c>
      <c r="M5" s="3" t="inlineStr">
        <is>
          <t>overhung load</t>
        </is>
      </c>
    </row>
    <row r="6">
      <c r="A6" s="5" t="n">
        <v>4</v>
      </c>
      <c r="B6" s="5" t="inlineStr">
        <is>
          <t>Conveying / Handling</t>
        </is>
      </c>
      <c r="C6" s="6" t="inlineStr">
        <is>
          <t>Apron / pan conveyor</t>
        </is>
      </c>
      <c r="D6" s="5" t="inlineStr">
        <is>
          <t>drag</t>
        </is>
      </c>
      <c r="E6" s="5" t="n">
        <v>1.25</v>
      </c>
      <c r="F6" s="5" t="n">
        <v>1.5</v>
      </c>
      <c r="G6" s="5" t="n">
        <v>1.5</v>
      </c>
      <c r="H6" s="5" t="n">
        <v>0.95</v>
      </c>
      <c r="I6" s="5" t="inlineStr">
        <is>
          <t>P = (1+k)·(g/3600)·Q·(H+f·L)</t>
        </is>
      </c>
      <c r="J6" s="5" t="inlineStr">
        <is>
          <t>n₂ = v / (π·D)</t>
        </is>
      </c>
      <c r="K6" s="5" t="inlineStr">
        <is>
          <t>Right-angle helical-bevel</t>
        </is>
      </c>
      <c r="L6" s="5" t="inlineStr">
        <is>
          <t>Helical-bevel geared motor</t>
        </is>
      </c>
      <c r="M6" s="5" t="inlineStr">
        <is>
          <t>shock, overhung load</t>
        </is>
      </c>
    </row>
    <row r="7">
      <c r="A7" s="3" t="n">
        <v>5</v>
      </c>
      <c r="B7" s="3" t="inlineStr">
        <is>
          <t>Conveying / Handling</t>
        </is>
      </c>
      <c r="C7" s="4" t="inlineStr">
        <is>
          <t>Bucket elevator</t>
        </is>
      </c>
      <c r="D7" s="3" t="inlineStr">
        <is>
          <t>elevator</t>
        </is>
      </c>
      <c r="E7" s="3" t="n">
        <v>1.25</v>
      </c>
      <c r="F7" s="3" t="n">
        <v>1.4</v>
      </c>
      <c r="G7" s="3" t="n">
        <v>1.5</v>
      </c>
      <c r="H7" s="3" t="n">
        <v>0.96</v>
      </c>
      <c r="I7" s="3" t="inlineStr">
        <is>
          <t>P = k·Q·H / 367</t>
        </is>
      </c>
      <c r="J7" s="3" t="inlineStr">
        <is>
          <t>n₂ = 60·v / (π·D)</t>
        </is>
      </c>
      <c r="K7" s="3" t="inlineStr">
        <is>
          <t>Shaft-mounted / helical-bevel + backstop</t>
        </is>
      </c>
      <c r="L7" s="3" t="inlineStr">
        <is>
          <t>Helical-bevel with anti-runback backstop</t>
        </is>
      </c>
      <c r="M7" s="3" t="inlineStr">
        <is>
          <t>backstop, overhung load</t>
        </is>
      </c>
    </row>
    <row r="8">
      <c r="A8" s="5" t="n">
        <v>6</v>
      </c>
      <c r="B8" s="5" t="inlineStr">
        <is>
          <t>Conveying / Handling</t>
        </is>
      </c>
      <c r="C8" s="6" t="inlineStr">
        <is>
          <t>Chain conveyor / drag</t>
        </is>
      </c>
      <c r="D8" s="5" t="inlineStr">
        <is>
          <t>drag</t>
        </is>
      </c>
      <c r="E8" s="5" t="n">
        <v>1.25</v>
      </c>
      <c r="F8" s="5" t="n">
        <v>1.5</v>
      </c>
      <c r="G8" s="5" t="n">
        <v>1.75</v>
      </c>
      <c r="H8" s="5" t="n">
        <v>0.95</v>
      </c>
      <c r="I8" s="5" t="inlineStr">
        <is>
          <t>P = (1+k)·(g/3600)·Q·(H+f·L)</t>
        </is>
      </c>
      <c r="J8" s="5" t="inlineStr">
        <is>
          <t>n₂ = v / (π·D)</t>
        </is>
      </c>
      <c r="K8" s="5" t="inlineStr">
        <is>
          <t>Right-angle helical-bevel</t>
        </is>
      </c>
      <c r="L8" s="5" t="inlineStr">
        <is>
          <t>Helical-bevel geared motor</t>
        </is>
      </c>
      <c r="M8" s="5" t="inlineStr">
        <is>
          <t>shock, overhung load</t>
        </is>
      </c>
    </row>
    <row r="9">
      <c r="A9" s="3" t="n">
        <v>7</v>
      </c>
      <c r="B9" s="3" t="inlineStr">
        <is>
          <t>Conveying / Handling</t>
        </is>
      </c>
      <c r="C9" s="4" t="inlineStr">
        <is>
          <t>Escalator / moving walk</t>
        </is>
      </c>
      <c r="D9" s="3" t="inlineStr">
        <is>
          <t>escalator</t>
        </is>
      </c>
      <c r="E9" s="3" t="n">
        <v>1.25</v>
      </c>
      <c r="F9" s="3" t="n">
        <v>1.25</v>
      </c>
      <c r="G9" s="3" t="n">
        <v>1.5</v>
      </c>
      <c r="H9" s="3" t="n">
        <v>0.95</v>
      </c>
      <c r="I9" s="3" t="inlineStr">
        <is>
          <t>P = (1+k)·(pax/3600)·mp·g·H / 1000</t>
        </is>
      </c>
      <c r="J9" s="3" t="inlineStr">
        <is>
          <t>n₂ = 60·v / (π·D)</t>
        </is>
      </c>
      <c r="K9" s="3" t="inlineStr">
        <is>
          <t>Right-angle helical-bevel + backstop</t>
        </is>
      </c>
      <c r="L9" s="3" t="inlineStr">
        <is>
          <t>Helical-bevel geared motor</t>
        </is>
      </c>
      <c r="M9" s="3" t="inlineStr">
        <is>
          <t>people-carrying (brake+backstop)</t>
        </is>
      </c>
    </row>
    <row r="10">
      <c r="A10" s="5" t="n">
        <v>8</v>
      </c>
      <c r="B10" s="5" t="inlineStr">
        <is>
          <t>Cranes / Hoisting</t>
        </is>
      </c>
      <c r="C10" s="6" t="inlineStr">
        <is>
          <t>Crane — main hoist</t>
        </is>
      </c>
      <c r="D10" s="5" t="inlineStr">
        <is>
          <t>hoist</t>
        </is>
      </c>
      <c r="E10" s="5" t="n">
        <v>1.25</v>
      </c>
      <c r="F10" s="5" t="n">
        <v>1.5</v>
      </c>
      <c r="G10" s="5" t="n">
        <v>1.75</v>
      </c>
      <c r="H10" s="5" t="n">
        <v>0.95</v>
      </c>
      <c r="I10" s="5" t="inlineStr">
        <is>
          <t>T₂ = (m·g / falls)·(D/2) / η_reeving</t>
        </is>
      </c>
      <c r="J10" s="5" t="inlineStr">
        <is>
          <t>n₂ = falls·v / (π·D)</t>
        </is>
      </c>
      <c r="K10" s="5" t="inlineStr">
        <is>
          <t>Hoist-duty geared motor (reversing)</t>
        </is>
      </c>
      <c r="L10" s="5" t="inlineStr">
        <is>
          <t>IRC / IRCM hoist gearmotor series</t>
        </is>
      </c>
      <c r="M10" s="5" t="inlineStr">
        <is>
          <t>reversing, hoisting, peak torque</t>
        </is>
      </c>
    </row>
    <row r="11">
      <c r="A11" s="3" t="n">
        <v>9</v>
      </c>
      <c r="B11" s="3" t="inlineStr">
        <is>
          <t>Cranes / Hoisting</t>
        </is>
      </c>
      <c r="C11" s="4" t="inlineStr">
        <is>
          <t>Crane — auxiliary hoist</t>
        </is>
      </c>
      <c r="D11" s="3" t="inlineStr">
        <is>
          <t>hoist</t>
        </is>
      </c>
      <c r="E11" s="3" t="n">
        <v>1.25</v>
      </c>
      <c r="F11" s="3" t="n">
        <v>1.5</v>
      </c>
      <c r="G11" s="3" t="n">
        <v>1.75</v>
      </c>
      <c r="H11" s="3" t="n">
        <v>0.95</v>
      </c>
      <c r="I11" s="3" t="inlineStr">
        <is>
          <t>T₂ = (m·g / falls)·(D/2) / η_reeving</t>
        </is>
      </c>
      <c r="J11" s="3" t="inlineStr">
        <is>
          <t>n₂ = falls·v / (π·D)</t>
        </is>
      </c>
      <c r="K11" s="3" t="inlineStr">
        <is>
          <t>Hoist-duty geared motor (reversing)</t>
        </is>
      </c>
      <c r="L11" s="3" t="inlineStr">
        <is>
          <t>IRC / IRCM hoist gearmotor series</t>
        </is>
      </c>
      <c r="M11" s="3" t="inlineStr">
        <is>
          <t>reversing, hoisting, peak torque</t>
        </is>
      </c>
    </row>
    <row r="12">
      <c r="A12" s="5" t="n">
        <v>10</v>
      </c>
      <c r="B12" s="5" t="inlineStr">
        <is>
          <t>Cranes / Hoisting</t>
        </is>
      </c>
      <c r="C12" s="6" t="inlineStr">
        <is>
          <t>Crane — slewing drive</t>
        </is>
      </c>
      <c r="D12" s="5" t="inlineStr">
        <is>
          <t>slew</t>
        </is>
      </c>
      <c r="E12" s="5" t="n">
        <v>1.25</v>
      </c>
      <c r="F12" s="5" t="n">
        <v>1.5</v>
      </c>
      <c r="G12" s="5" t="n">
        <v>1.75</v>
      </c>
      <c r="H12" s="5" t="n">
        <v>0.9399999999999999</v>
      </c>
      <c r="I12" s="5" t="inlineStr">
        <is>
          <t>J = m·r² ; α = (2π·n/60)/t ; T₂ = J·α + Tf</t>
        </is>
      </c>
      <c r="J12" s="5" t="inlineStr">
        <is>
          <t>n₂ = slew rpm</t>
        </is>
      </c>
      <c r="K12" s="5" t="inlineStr">
        <is>
          <t>Right-angle helical-bevel (reversing)</t>
        </is>
      </c>
      <c r="L12" s="5" t="inlineStr">
        <is>
          <t>Helical-bevel geared motor</t>
        </is>
      </c>
      <c r="M12" s="5" t="inlineStr">
        <is>
          <t>reversing, high inertia</t>
        </is>
      </c>
    </row>
    <row r="13">
      <c r="A13" s="3" t="n">
        <v>11</v>
      </c>
      <c r="B13" s="3" t="inlineStr">
        <is>
          <t>Cranes / Hoisting</t>
        </is>
      </c>
      <c r="C13" s="4" t="inlineStr">
        <is>
          <t>Crane — bridge / trolley travel</t>
        </is>
      </c>
      <c r="D13" s="3" t="inlineStr">
        <is>
          <t>travel</t>
        </is>
      </c>
      <c r="E13" s="3" t="n">
        <v>1</v>
      </c>
      <c r="F13" s="3" t="n">
        <v>1.25</v>
      </c>
      <c r="G13" s="3" t="n">
        <v>1.5</v>
      </c>
      <c r="H13" s="3" t="n">
        <v>0.95</v>
      </c>
      <c r="I13" s="3" t="inlineStr">
        <is>
          <t>P = m·g·w·v / 60000</t>
        </is>
      </c>
      <c r="J13" s="3" t="inlineStr">
        <is>
          <t>n₂ = v / (π·D)</t>
        </is>
      </c>
      <c r="K13" s="3" t="inlineStr">
        <is>
          <t>Shaft-mounted helical / helical-bevel</t>
        </is>
      </c>
      <c r="L13" s="3" t="inlineStr">
        <is>
          <t>Travel geared motor</t>
        </is>
      </c>
      <c r="M13" s="3" t="inlineStr">
        <is>
          <t>reversing</t>
        </is>
      </c>
    </row>
    <row r="14">
      <c r="A14" s="5" t="n">
        <v>12</v>
      </c>
      <c r="B14" s="5" t="inlineStr">
        <is>
          <t>Cranes / Hoisting</t>
        </is>
      </c>
      <c r="C14" s="6" t="inlineStr">
        <is>
          <t>Winch / drum drive</t>
        </is>
      </c>
      <c r="D14" s="5" t="inlineStr">
        <is>
          <t>hoist</t>
        </is>
      </c>
      <c r="E14" s="5" t="n">
        <v>1.25</v>
      </c>
      <c r="F14" s="5" t="n">
        <v>1.5</v>
      </c>
      <c r="G14" s="5" t="n">
        <v>1.75</v>
      </c>
      <c r="H14" s="5" t="n">
        <v>0.95</v>
      </c>
      <c r="I14" s="5" t="inlineStr">
        <is>
          <t>T₂ = (m·g / falls)·(D/2) / η_reeving</t>
        </is>
      </c>
      <c r="J14" s="5" t="inlineStr">
        <is>
          <t>n₂ = falls·v / (π·D)</t>
        </is>
      </c>
      <c r="K14" s="5" t="inlineStr">
        <is>
          <t>Hoist-duty / helical-bevel</t>
        </is>
      </c>
      <c r="L14" s="5" t="inlineStr">
        <is>
          <t>Hoist-duty geared motor</t>
        </is>
      </c>
      <c r="M14" s="5" t="inlineStr">
        <is>
          <t>reversing, peak torque</t>
        </is>
      </c>
    </row>
    <row r="15">
      <c r="A15" s="3" t="n">
        <v>13</v>
      </c>
      <c r="B15" s="3" t="inlineStr">
        <is>
          <t>Cranes / Hoisting</t>
        </is>
      </c>
      <c r="C15" s="4" t="inlineStr">
        <is>
          <t>Passenger lift / elevator</t>
        </is>
      </c>
      <c r="D15" s="3" t="inlineStr">
        <is>
          <t>lift</t>
        </is>
      </c>
      <c r="E15" s="3" t="n">
        <v>1.5</v>
      </c>
      <c r="F15" s="3" t="n">
        <v>1.75</v>
      </c>
      <c r="G15" s="3" t="n">
        <v>2</v>
      </c>
      <c r="H15" s="3" t="n">
        <v>0.95</v>
      </c>
      <c r="I15" s="3" t="inlineStr">
        <is>
          <t>P = Q·(1−b)·g·v / 1000</t>
        </is>
      </c>
      <c r="J15" s="3" t="inlineStr">
        <is>
          <t>n₂ = 60·rf·v / (π·D)</t>
        </is>
      </c>
      <c r="K15" s="3" t="inlineStr">
        <is>
          <t>Certified lift drive (safety-critical)</t>
        </is>
      </c>
      <c r="L15" s="3" t="inlineStr">
        <is>
          <t>Consult I-MAK engineering — certified drive</t>
        </is>
      </c>
      <c r="M15" s="3" t="inlineStr">
        <is>
          <t>safety-critical, reversing</t>
        </is>
      </c>
    </row>
    <row r="16">
      <c r="A16" s="5" t="n">
        <v>14</v>
      </c>
      <c r="B16" s="5" t="inlineStr">
        <is>
          <t>Mixing / Process</t>
        </is>
      </c>
      <c r="C16" s="6" t="inlineStr">
        <is>
          <t>Mixer / agitator — light, low viscosity</t>
        </is>
      </c>
      <c r="D16" s="5" t="inlineStr">
        <is>
          <t>agitator</t>
        </is>
      </c>
      <c r="E16" s="5" t="n">
        <v>1.25</v>
      </c>
      <c r="F16" s="5" t="n">
        <v>1.5</v>
      </c>
      <c r="G16" s="5" t="n">
        <v>1.75</v>
      </c>
      <c r="H16" s="5" t="n">
        <v>0.96</v>
      </c>
      <c r="I16" s="5" t="inlineStr">
        <is>
          <t>P = Np·ρ·N³·D⁵   (N = rpm/60, turbulent)</t>
        </is>
      </c>
      <c r="J16" s="5" t="inlineStr">
        <is>
          <t>n₂ = shaft rpm</t>
        </is>
      </c>
      <c r="K16" s="5" t="inlineStr">
        <is>
          <t>Inline helical, reinforced output bearings</t>
        </is>
      </c>
      <c r="L16" s="5" t="inlineStr">
        <is>
          <t>Helical geared motor (agitator config)</t>
        </is>
      </c>
      <c r="M16" s="5" t="inlineStr">
        <is>
          <t>axial thrust, overhung load</t>
        </is>
      </c>
    </row>
    <row r="17">
      <c r="A17" s="3" t="n">
        <v>15</v>
      </c>
      <c r="B17" s="3" t="inlineStr">
        <is>
          <t>Mixing / Process</t>
        </is>
      </c>
      <c r="C17" s="4" t="inlineStr">
        <is>
          <t>Mixer — heavy / viscous</t>
        </is>
      </c>
      <c r="D17" s="3" t="inlineStr">
        <is>
          <t>agitator</t>
        </is>
      </c>
      <c r="E17" s="3" t="n">
        <v>1.5</v>
      </c>
      <c r="F17" s="3" t="n">
        <v>1.75</v>
      </c>
      <c r="G17" s="3" t="n">
        <v>2</v>
      </c>
      <c r="H17" s="3" t="n">
        <v>0.96</v>
      </c>
      <c r="I17" s="3" t="inlineStr">
        <is>
          <t>P = Np·ρ·N³·D⁵   (N = rpm/60, turbulent)</t>
        </is>
      </c>
      <c r="J17" s="3" t="inlineStr">
        <is>
          <t>n₂ = shaft rpm</t>
        </is>
      </c>
      <c r="K17" s="3" t="inlineStr">
        <is>
          <t>Inline helical, reinforced output bearings</t>
        </is>
      </c>
      <c r="L17" s="3" t="inlineStr">
        <is>
          <t>Helical geared motor (heavy agitator)</t>
        </is>
      </c>
      <c r="M17" s="3" t="inlineStr">
        <is>
          <t>axial thrust, shock</t>
        </is>
      </c>
    </row>
    <row r="18">
      <c r="A18" s="5" t="n">
        <v>16</v>
      </c>
      <c r="B18" s="5" t="inlineStr">
        <is>
          <t>Mixing / Process</t>
        </is>
      </c>
      <c r="C18" s="6" t="inlineStr">
        <is>
          <t>Rotary kiln / drying drum</t>
        </is>
      </c>
      <c r="D18" s="5" t="inlineStr">
        <is>
          <t>kiln</t>
        </is>
      </c>
      <c r="E18" s="5" t="n">
        <v>1.25</v>
      </c>
      <c r="F18" s="5" t="n">
        <v>1.5</v>
      </c>
      <c r="G18" s="5" t="n">
        <v>1.75</v>
      </c>
      <c r="H18" s="5" t="n">
        <v>0.95</v>
      </c>
      <c r="I18" s="5" t="inlineStr">
        <is>
          <t>T₂ = (1+k)·m·g·(D/2)·e</t>
        </is>
      </c>
      <c r="J18" s="5" t="inlineStr">
        <is>
          <t>n₂ = kiln rpm</t>
        </is>
      </c>
      <c r="K18" s="5" t="inlineStr">
        <is>
          <t>Right-angle helical-bevel</t>
        </is>
      </c>
      <c r="L18" s="5" t="inlineStr">
        <is>
          <t>Helical-bevel geared motor</t>
        </is>
      </c>
      <c r="M18" s="5" t="inlineStr">
        <is>
          <t>thermal, high inertia</t>
        </is>
      </c>
    </row>
    <row r="19">
      <c r="A19" s="3" t="n">
        <v>17</v>
      </c>
      <c r="B19" s="3" t="inlineStr">
        <is>
          <t>Mixing / Process</t>
        </is>
      </c>
      <c r="C19" s="4" t="inlineStr">
        <is>
          <t>Extruder — plastic</t>
        </is>
      </c>
      <c r="D19" s="3" t="inlineStr">
        <is>
          <t>extrude</t>
        </is>
      </c>
      <c r="E19" s="3" t="n">
        <v>1.4</v>
      </c>
      <c r="F19" s="3" t="n">
        <v>1.5</v>
      </c>
      <c r="G19" s="3" t="n">
        <v>1.6</v>
      </c>
      <c r="H19" s="3" t="n">
        <v>0.96</v>
      </c>
      <c r="I19" s="3" t="inlineStr">
        <is>
          <t>P = SME·Q ; T₂ = 9550·P / n</t>
        </is>
      </c>
      <c r="J19" s="3" t="inlineStr">
        <is>
          <t>n₂ = screw rpm</t>
        </is>
      </c>
      <c r="K19" s="3" t="inlineStr">
        <is>
          <t>Inline helical, high thrust</t>
        </is>
      </c>
      <c r="L19" s="3" t="inlineStr">
        <is>
          <t>Helical geared motor (high axial)</t>
        </is>
      </c>
      <c r="M19" s="3" t="inlineStr">
        <is>
          <t>axial thrust, thermal</t>
        </is>
      </c>
    </row>
    <row r="20">
      <c r="A20" s="5" t="n">
        <v>18</v>
      </c>
      <c r="B20" s="5" t="inlineStr">
        <is>
          <t>Mixing / Process</t>
        </is>
      </c>
      <c r="C20" s="6" t="inlineStr">
        <is>
          <t>Extruder — rubber</t>
        </is>
      </c>
      <c r="D20" s="5" t="inlineStr">
        <is>
          <t>extrude</t>
        </is>
      </c>
      <c r="E20" s="5" t="n">
        <v>1.5</v>
      </c>
      <c r="F20" s="5" t="n">
        <v>1.65</v>
      </c>
      <c r="G20" s="5" t="n">
        <v>1.8</v>
      </c>
      <c r="H20" s="5" t="n">
        <v>0.96</v>
      </c>
      <c r="I20" s="5" t="inlineStr">
        <is>
          <t>P = SME·Q ; T₂ = 9550·P / n</t>
        </is>
      </c>
      <c r="J20" s="5" t="inlineStr">
        <is>
          <t>n₂ = screw rpm</t>
        </is>
      </c>
      <c r="K20" s="5" t="inlineStr">
        <is>
          <t>Inline helical, high thrust</t>
        </is>
      </c>
      <c r="L20" s="5" t="inlineStr">
        <is>
          <t>Helical geared motor (high axial)</t>
        </is>
      </c>
      <c r="M20" s="5" t="inlineStr">
        <is>
          <t>axial thrust, thermal, shock</t>
        </is>
      </c>
    </row>
    <row r="21">
      <c r="A21" s="3" t="n">
        <v>19</v>
      </c>
      <c r="B21" s="3" t="inlineStr">
        <is>
          <t>Milling / Grain (food)</t>
        </is>
      </c>
      <c r="C21" s="4" t="inlineStr">
        <is>
          <t>Roller mill (flour)</t>
        </is>
      </c>
      <c r="D21" s="3" t="inlineStr">
        <is>
          <t>sec</t>
        </is>
      </c>
      <c r="E21" s="3" t="n">
        <v>1.25</v>
      </c>
      <c r="F21" s="3" t="n">
        <v>1.5</v>
      </c>
      <c r="G21" s="3" t="n">
        <v>1.75</v>
      </c>
      <c r="H21" s="3" t="n">
        <v>0.96</v>
      </c>
      <c r="I21" s="3" t="inlineStr">
        <is>
          <t>P = E·Q</t>
        </is>
      </c>
      <c r="J21" s="3" t="inlineStr">
        <is>
          <t>n₂ = output rpm</t>
        </is>
      </c>
      <c r="K21" s="3" t="inlineStr">
        <is>
          <t>Inline / helical-bevel</t>
        </is>
      </c>
      <c r="L21" s="3" t="inlineStr">
        <is>
          <t>Helical geared motor</t>
        </is>
      </c>
      <c r="M21" s="3" t="inlineStr">
        <is>
          <t>overhung load</t>
        </is>
      </c>
    </row>
    <row r="22">
      <c r="A22" s="5" t="n">
        <v>20</v>
      </c>
      <c r="B22" s="5" t="inlineStr">
        <is>
          <t>Milling / Grain (food)</t>
        </is>
      </c>
      <c r="C22" s="6" t="inlineStr">
        <is>
          <t>Hammer mill / grinder</t>
        </is>
      </c>
      <c r="D22" s="5" t="inlineStr">
        <is>
          <t>sec</t>
        </is>
      </c>
      <c r="E22" s="5" t="n">
        <v>1.5</v>
      </c>
      <c r="F22" s="5" t="n">
        <v>1.75</v>
      </c>
      <c r="G22" s="5" t="n">
        <v>2</v>
      </c>
      <c r="H22" s="5" t="n">
        <v>0.96</v>
      </c>
      <c r="I22" s="5" t="inlineStr">
        <is>
          <t>P = E·Q</t>
        </is>
      </c>
      <c r="J22" s="5" t="inlineStr">
        <is>
          <t>n₂ = output rpm</t>
        </is>
      </c>
      <c r="K22" s="5" t="inlineStr">
        <is>
          <t>Helical, shock-rated</t>
        </is>
      </c>
      <c r="L22" s="5" t="inlineStr">
        <is>
          <t>Helical geared motor (shock duty)</t>
        </is>
      </c>
      <c r="M22" s="5" t="inlineStr">
        <is>
          <t>shock, inertia, peak torque</t>
        </is>
      </c>
    </row>
    <row r="23">
      <c r="A23" s="3" t="n">
        <v>21</v>
      </c>
      <c r="B23" s="3" t="inlineStr">
        <is>
          <t>Milling / Grain (food)</t>
        </is>
      </c>
      <c r="C23" s="4" t="inlineStr">
        <is>
          <t>Sifter / plansifter drive</t>
        </is>
      </c>
      <c r="D23" s="3" t="inlineStr">
        <is>
          <t>sifter</t>
        </is>
      </c>
      <c r="E23" s="3" t="n">
        <v>1.25</v>
      </c>
      <c r="F23" s="3" t="n">
        <v>1.5</v>
      </c>
      <c r="G23" s="3" t="n">
        <v>1.75</v>
      </c>
      <c r="H23" s="3" t="n">
        <v>0.96</v>
      </c>
      <c r="I23" s="3" t="inlineStr">
        <is>
          <t>P = k·m·r²·ω³ / 1000   (ω = 2π·n/60)</t>
        </is>
      </c>
      <c r="J23" s="3" t="inlineStr">
        <is>
          <t>n₂ = drive rpm</t>
        </is>
      </c>
      <c r="K23" s="3" t="inlineStr">
        <is>
          <t>Helical, reversing/oscillating rated</t>
        </is>
      </c>
      <c r="L23" s="3" t="inlineStr">
        <is>
          <t>Helical geared motor</t>
        </is>
      </c>
      <c r="M23" s="3" t="inlineStr">
        <is>
          <t>reversing/oscillating</t>
        </is>
      </c>
    </row>
    <row r="24">
      <c r="A24" s="5" t="n">
        <v>22</v>
      </c>
      <c r="B24" s="5" t="inlineStr">
        <is>
          <t>Milling / Grain (food)</t>
        </is>
      </c>
      <c r="C24" s="6" t="inlineStr">
        <is>
          <t>Pellet mill</t>
        </is>
      </c>
      <c r="D24" s="5" t="inlineStr">
        <is>
          <t>sec</t>
        </is>
      </c>
      <c r="E24" s="5" t="n">
        <v>1.5</v>
      </c>
      <c r="F24" s="5" t="n">
        <v>1.75</v>
      </c>
      <c r="G24" s="5" t="n">
        <v>2</v>
      </c>
      <c r="H24" s="5" t="n">
        <v>0.95</v>
      </c>
      <c r="I24" s="5" t="inlineStr">
        <is>
          <t>P = E·Q</t>
        </is>
      </c>
      <c r="J24" s="5" t="inlineStr">
        <is>
          <t>n₂ = output rpm</t>
        </is>
      </c>
      <c r="K24" s="5" t="inlineStr">
        <is>
          <t>Helical-bevel, shock-rated</t>
        </is>
      </c>
      <c r="L24" s="5" t="inlineStr">
        <is>
          <t>Helical-bevel geared motor (heavy)</t>
        </is>
      </c>
      <c r="M24" s="5" t="inlineStr">
        <is>
          <t>shock, peak, thermal</t>
        </is>
      </c>
    </row>
    <row r="25">
      <c r="A25" s="3" t="n">
        <v>23</v>
      </c>
      <c r="B25" s="3" t="inlineStr">
        <is>
          <t>Crushing / Vibrating</t>
        </is>
      </c>
      <c r="C25" s="4" t="inlineStr">
        <is>
          <t>Crusher — stone / ore</t>
        </is>
      </c>
      <c r="D25" s="3" t="inlineStr">
        <is>
          <t>sec</t>
        </is>
      </c>
      <c r="E25" s="3" t="n">
        <v>1.5</v>
      </c>
      <c r="F25" s="3" t="n">
        <v>1.75</v>
      </c>
      <c r="G25" s="3" t="n">
        <v>2</v>
      </c>
      <c r="H25" s="3" t="n">
        <v>0.95</v>
      </c>
      <c r="I25" s="3" t="inlineStr">
        <is>
          <t>P = E·Q</t>
        </is>
      </c>
      <c r="J25" s="3" t="inlineStr">
        <is>
          <t>n₂ = output rpm</t>
        </is>
      </c>
      <c r="K25" s="3" t="inlineStr">
        <is>
          <t>Helical-bevel, shock-rated</t>
        </is>
      </c>
      <c r="L25" s="3" t="inlineStr">
        <is>
          <t>Helical-bevel geared motor (heavy duty)</t>
        </is>
      </c>
      <c r="M25" s="3" t="inlineStr">
        <is>
          <t>shock, peak, inertia</t>
        </is>
      </c>
    </row>
    <row r="26">
      <c r="A26" s="5" t="n">
        <v>24</v>
      </c>
      <c r="B26" s="5" t="inlineStr">
        <is>
          <t>Crushing / Vibrating</t>
        </is>
      </c>
      <c r="C26" s="6" t="inlineStr">
        <is>
          <t>Ball / rod mill</t>
        </is>
      </c>
      <c r="D26" s="5" t="inlineStr">
        <is>
          <t>sec</t>
        </is>
      </c>
      <c r="E26" s="5" t="n">
        <v>1.55</v>
      </c>
      <c r="F26" s="5" t="n">
        <v>1.75</v>
      </c>
      <c r="G26" s="5" t="n">
        <v>2</v>
      </c>
      <c r="H26" s="5" t="n">
        <v>0.95</v>
      </c>
      <c r="I26" s="5" t="inlineStr">
        <is>
          <t>P = E·Q</t>
        </is>
      </c>
      <c r="J26" s="5" t="inlineStr">
        <is>
          <t>n₂ = output rpm</t>
        </is>
      </c>
      <c r="K26" s="5" t="inlineStr">
        <is>
          <t>Helical, mill-duty</t>
        </is>
      </c>
      <c r="L26" s="5" t="inlineStr">
        <is>
          <t>Mill-duty geared drive</t>
        </is>
      </c>
      <c r="M26" s="5" t="inlineStr">
        <is>
          <t>shock, peak, inertia, thermal</t>
        </is>
      </c>
    </row>
    <row r="27">
      <c r="A27" s="3" t="n">
        <v>25</v>
      </c>
      <c r="B27" s="3" t="inlineStr">
        <is>
          <t>Crushing / Vibrating</t>
        </is>
      </c>
      <c r="C27" s="4" t="inlineStr">
        <is>
          <t>Vibrating screen / shaker</t>
        </is>
      </c>
      <c r="D27" s="3" t="inlineStr">
        <is>
          <t>vibscreen</t>
        </is>
      </c>
      <c r="E27" s="3" t="n">
        <v>1.55</v>
      </c>
      <c r="F27" s="3" t="n">
        <v>1.75</v>
      </c>
      <c r="G27" s="3" t="n">
        <v>2</v>
      </c>
      <c r="H27" s="3" t="n">
        <v>0.95</v>
      </c>
      <c r="I27" s="3" t="inlineStr">
        <is>
          <t>P = k·m·A²·ω³ / 1000   (ω = 2π·n/60)</t>
        </is>
      </c>
      <c r="J27" s="3" t="inlineStr">
        <is>
          <t>n₂ = exciter rpm</t>
        </is>
      </c>
      <c r="K27" s="3" t="inlineStr">
        <is>
          <t>Shaft-mounted, vibration-rated</t>
        </is>
      </c>
      <c r="L27" s="3" t="inlineStr">
        <is>
          <t>Shaft-mounted geared motor</t>
        </is>
      </c>
      <c r="M27" s="3" t="inlineStr">
        <is>
          <t>shock, peak torque</t>
        </is>
      </c>
    </row>
    <row r="28">
      <c r="A28" s="5" t="n">
        <v>26</v>
      </c>
      <c r="B28" s="5" t="inlineStr">
        <is>
          <t>Crushing / Vibrating</t>
        </is>
      </c>
      <c r="C28" s="6" t="inlineStr">
        <is>
          <t>Rotary table / turntable</t>
        </is>
      </c>
      <c r="D28" s="5" t="inlineStr">
        <is>
          <t>rotable</t>
        </is>
      </c>
      <c r="E28" s="5" t="n">
        <v>1.25</v>
      </c>
      <c r="F28" s="5" t="n">
        <v>1.5</v>
      </c>
      <c r="G28" s="5" t="n">
        <v>1.75</v>
      </c>
      <c r="H28" s="5" t="n">
        <v>0.95</v>
      </c>
      <c r="I28" s="5" t="inlineStr">
        <is>
          <t>J = 0.5·m·r² ; α = (2π·n/60)/t ; T₂ = J·α + Tf</t>
        </is>
      </c>
      <c r="J28" s="5" t="inlineStr">
        <is>
          <t>n₂ = table rpm</t>
        </is>
      </c>
      <c r="K28" s="5" t="inlineStr">
        <is>
          <t>Right-angle helical-bevel</t>
        </is>
      </c>
      <c r="L28" s="5" t="inlineStr">
        <is>
          <t>Helical-bevel geared motor</t>
        </is>
      </c>
      <c r="M28" s="5" t="inlineStr">
        <is>
          <t>high inertia</t>
        </is>
      </c>
    </row>
    <row r="29">
      <c r="A29" s="3" t="n">
        <v>27</v>
      </c>
      <c r="B29" s="3" t="inlineStr">
        <is>
          <t>Pumps / Fans</t>
        </is>
      </c>
      <c r="C29" s="4" t="inlineStr">
        <is>
          <t>Centrifugal pump</t>
        </is>
      </c>
      <c r="D29" s="3" t="inlineStr">
        <is>
          <t>pump</t>
        </is>
      </c>
      <c r="E29" s="3" t="n">
        <v>1</v>
      </c>
      <c r="F29" s="3" t="n">
        <v>1.25</v>
      </c>
      <c r="G29" s="3" t="n">
        <v>1.5</v>
      </c>
      <c r="H29" s="3" t="n">
        <v>0.97</v>
      </c>
      <c r="I29" s="3" t="inlineStr">
        <is>
          <t>P = Q·H·SG / (367·η_pump)</t>
        </is>
      </c>
      <c r="J29" s="3" t="inlineStr">
        <is>
          <t>n₂ = pump rpm</t>
        </is>
      </c>
      <c r="K29" s="3" t="inlineStr">
        <is>
          <t>Inline helical</t>
        </is>
      </c>
      <c r="L29" s="3" t="inlineStr">
        <is>
          <t>Helical geared motor</t>
        </is>
      </c>
      <c r="M29" s="3" t="inlineStr">
        <is>
          <t>—</t>
        </is>
      </c>
    </row>
    <row r="30">
      <c r="A30" s="5" t="n">
        <v>28</v>
      </c>
      <c r="B30" s="5" t="inlineStr">
        <is>
          <t>Pumps / Fans</t>
        </is>
      </c>
      <c r="C30" s="6" t="inlineStr">
        <is>
          <t>Reciprocating / positive-disp. pump</t>
        </is>
      </c>
      <c r="D30" s="5" t="inlineStr">
        <is>
          <t>pump</t>
        </is>
      </c>
      <c r="E30" s="5" t="n">
        <v>1.25</v>
      </c>
      <c r="F30" s="5" t="n">
        <v>1.5</v>
      </c>
      <c r="G30" s="5" t="n">
        <v>1.75</v>
      </c>
      <c r="H30" s="5" t="n">
        <v>0.96</v>
      </c>
      <c r="I30" s="5" t="inlineStr">
        <is>
          <t>P = Q·H·SG / (367·η_pump)</t>
        </is>
      </c>
      <c r="J30" s="5" t="inlineStr">
        <is>
          <t>n₂ = pump rpm</t>
        </is>
      </c>
      <c r="K30" s="5" t="inlineStr">
        <is>
          <t>Inline helical, shock-rated</t>
        </is>
      </c>
      <c r="L30" s="5" t="inlineStr">
        <is>
          <t>Helical geared motor</t>
        </is>
      </c>
      <c r="M30" s="5" t="inlineStr">
        <is>
          <t>shock, peak torque</t>
        </is>
      </c>
    </row>
    <row r="31">
      <c r="A31" s="3" t="n">
        <v>29</v>
      </c>
      <c r="B31" s="3" t="inlineStr">
        <is>
          <t>Pumps / Fans</t>
        </is>
      </c>
      <c r="C31" s="4" t="inlineStr">
        <is>
          <t>Centrifugal fan / blower</t>
        </is>
      </c>
      <c r="D31" s="3" t="inlineStr">
        <is>
          <t>fan</t>
        </is>
      </c>
      <c r="E31" s="3" t="n">
        <v>1</v>
      </c>
      <c r="F31" s="3" t="n">
        <v>1.25</v>
      </c>
      <c r="G31" s="3" t="n">
        <v>1.5</v>
      </c>
      <c r="H31" s="3" t="n">
        <v>0.97</v>
      </c>
      <c r="I31" s="3" t="inlineStr">
        <is>
          <t>P = (Q/3600)·Δp / (1000·η_fan)</t>
        </is>
      </c>
      <c r="J31" s="3" t="inlineStr">
        <is>
          <t>n₂ = fan rpm</t>
        </is>
      </c>
      <c r="K31" s="3" t="inlineStr">
        <is>
          <t>Inline / helical-bevel</t>
        </is>
      </c>
      <c r="L31" s="3" t="inlineStr">
        <is>
          <t>Helical geared motor</t>
        </is>
      </c>
      <c r="M31" s="3" t="inlineStr">
        <is>
          <t>high inertia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18" customWidth="1" min="4" max="4"/>
    <col width="42" customWidth="1" min="5" max="5"/>
    <col width="46" customWidth="1" min="6" max="6"/>
  </cols>
  <sheetData>
    <row r="1" ht="30" customHeight="1">
      <c r="A1" s="1" t="inlineStr">
        <is>
          <t>Formula library — one calculator per application type</t>
        </is>
      </c>
    </row>
    <row r="2">
      <c r="A2" s="2" t="inlineStr">
        <is>
          <t>Formula key</t>
        </is>
      </c>
      <c r="B2" s="2" t="inlineStr">
        <is>
          <t>Application type</t>
        </is>
      </c>
      <c r="C2" s="2" t="inlineStr">
        <is>
          <t>Output power / torque</t>
        </is>
      </c>
      <c r="D2" s="2" t="inlineStr">
        <is>
          <t>Output speed n₂</t>
        </is>
      </c>
      <c r="E2" s="2" t="inlineStr">
        <is>
          <t>Input variables (default · unit)</t>
        </is>
      </c>
      <c r="F2" s="2" t="inlineStr">
        <is>
          <t>Method / source</t>
        </is>
      </c>
    </row>
    <row r="3" ht="98" customHeight="1">
      <c r="A3" s="4" t="inlineStr">
        <is>
          <t>belt</t>
        </is>
      </c>
      <c r="B3" s="3" t="inlineStr">
        <is>
          <t>Belt conveyor</t>
        </is>
      </c>
      <c r="C3" s="3" t="inlineStr">
        <is>
          <t>P = (1+k)·(g/3600)·Q·(H+f·L)</t>
        </is>
      </c>
      <c r="D3" s="3" t="inlineStr">
        <is>
          <t>n₂ = 60·v / (π·D)</t>
        </is>
      </c>
      <c r="E3" s="3" t="inlineStr">
        <is>
          <t>Q — Throughput = 100 t/h
L — Length = 30 m
H — Lift height = 5 m
v — Belt speed = 1.5 m/s
Dp — Drive pulley Ø = 315 mm
f — Friction factor = 0.035
k — Idler / empty allowance = 15 %</t>
        </is>
      </c>
      <c r="F3" s="3" t="inlineStr">
        <is>
          <t>Simplified DIN 22101 belt-conveyor power. g=9.81 m/s².</t>
        </is>
      </c>
    </row>
    <row r="4" ht="98" customHeight="1">
      <c r="A4" s="6" t="inlineStr">
        <is>
          <t>drag</t>
        </is>
      </c>
      <c r="B4" s="5" t="inlineStr">
        <is>
          <t>Apron / chain conveyor</t>
        </is>
      </c>
      <c r="C4" s="5" t="inlineStr">
        <is>
          <t>P = (1+k)·(g/3600)·Q·(H+f·L)</t>
        </is>
      </c>
      <c r="D4" s="5" t="inlineStr">
        <is>
          <t>n₂ = v / (π·D)</t>
        </is>
      </c>
      <c r="E4" s="5" t="inlineStr">
        <is>
          <t>Q — Throughput = 80 t/h
L — Length = 20 m
H — Lift height = 3 m
v — Chain speed = 20 m/min
Dp — Sprocket Ø = 250 mm
f — Friction factor = 0.5
k — Empty allowance = 10 %</t>
        </is>
      </c>
      <c r="F4" s="5" t="inlineStr">
        <is>
          <t>Same basis as belt but higher chain friction factor f.</t>
        </is>
      </c>
    </row>
    <row r="5" ht="70" customHeight="1">
      <c r="A5" s="4" t="inlineStr">
        <is>
          <t>screw</t>
        </is>
      </c>
      <c r="B5" s="3" t="inlineStr">
        <is>
          <t>Screw conveyor</t>
        </is>
      </c>
      <c r="C5" s="3" t="inlineStr">
        <is>
          <t>P = Q·(L·Fm + H) / 367</t>
        </is>
      </c>
      <c r="D5" s="3" t="inlineStr">
        <is>
          <t>n₂ = screw rpm</t>
        </is>
      </c>
      <c r="E5" s="3" t="inlineStr">
        <is>
          <t>Q — Throughput = 20 t/h
L — Length = 10 m
H — Lift height = 0 m
Fm — Material factor = 2.5
rpm — Screw speed = 60 rpm</t>
        </is>
      </c>
      <c r="F5" s="3" t="inlineStr">
        <is>
          <t>Standard screw-conveyor formula (CEMA/DIN), 367 = 3600·g/9.81 rounding constant.</t>
        </is>
      </c>
    </row>
    <row r="6" ht="70" customHeight="1">
      <c r="A6" s="6" t="inlineStr">
        <is>
          <t>elevator</t>
        </is>
      </c>
      <c r="B6" s="5" t="inlineStr">
        <is>
          <t>Bucket elevator</t>
        </is>
      </c>
      <c r="C6" s="5" t="inlineStr">
        <is>
          <t>P = k·Q·H / 367</t>
        </is>
      </c>
      <c r="D6" s="5" t="inlineStr">
        <is>
          <t>n₂ = 60·v / (π·D)</t>
        </is>
      </c>
      <c r="E6" s="5" t="inlineStr">
        <is>
          <t>Q — Throughput = 50 t/h
H — Lift height = 20 m
v — Belt/chain speed = 1.5 m/s
Dp — Head pulley Ø = 500 mm
k — Fill / scoop factor = 1.25</t>
        </is>
      </c>
      <c r="F6" s="5" t="inlineStr">
        <is>
          <t>Lifting power Q·H/367 × scoop/fill factor k.</t>
        </is>
      </c>
    </row>
    <row r="7" ht="70" customHeight="1">
      <c r="A7" s="4" t="inlineStr">
        <is>
          <t>hoist</t>
        </is>
      </c>
      <c r="B7" s="3" t="inlineStr">
        <is>
          <t>Crane hoist / winch</t>
        </is>
      </c>
      <c r="C7" s="3" t="inlineStr">
        <is>
          <t>T₂ = (m·g / falls)·(D/2) / η_reeving</t>
        </is>
      </c>
      <c r="D7" s="3" t="inlineStr">
        <is>
          <t>n₂ = falls·v / (π·D)</t>
        </is>
      </c>
      <c r="E7" s="3" t="inlineStr">
        <is>
          <t>m — Load on hook = 5000 kg
v — Lift speed = 8 m/min
D — Drum Ø = 400 mm
falls — Rope falls = 2
reev — Reeving efficiency = 0.95</t>
        </is>
      </c>
      <c r="F7" s="3" t="inlineStr">
        <is>
          <t>Line pull = m·g/falls; torque at drum radius / reeving efficiency.</t>
        </is>
      </c>
    </row>
    <row r="8" ht="60" customHeight="1">
      <c r="A8" s="6" t="inlineStr">
        <is>
          <t>travel</t>
        </is>
      </c>
      <c r="B8" s="5" t="inlineStr">
        <is>
          <t>Crane travel / trolley</t>
        </is>
      </c>
      <c r="C8" s="5" t="inlineStr">
        <is>
          <t>P = m·g·w·v / 60000</t>
        </is>
      </c>
      <c r="D8" s="5" t="inlineStr">
        <is>
          <t>n₂ = v / (π·D)</t>
        </is>
      </c>
      <c r="E8" s="5" t="inlineStr">
        <is>
          <t>m — Total moving mass = 10000 kg
v — Travel speed = 20 m/min
Dw — Wheel Ø = 400 mm
w — Travel resistance = 0.02</t>
        </is>
      </c>
      <c r="F8" s="5" t="inlineStr">
        <is>
          <t>Rolling resistance w × weight × speed. v in m/min → /60000 for kW.</t>
        </is>
      </c>
    </row>
    <row r="9" ht="84" customHeight="1">
      <c r="A9" s="4" t="inlineStr">
        <is>
          <t>escalator</t>
        </is>
      </c>
      <c r="B9" s="3" t="inlineStr">
        <is>
          <t>Escalator / moving walk</t>
        </is>
      </c>
      <c r="C9" s="3" t="inlineStr">
        <is>
          <t>P = (1+k)·(pax/3600)·mp·g·H / 1000</t>
        </is>
      </c>
      <c r="D9" s="3" t="inlineStr">
        <is>
          <t>n₂ = 60·v / (π·D)</t>
        </is>
      </c>
      <c r="E9" s="3" t="inlineStr">
        <is>
          <t>H — Vertical rise = 6 m
pax — Passengers / hour = 6000 p/h
mp — Avg mass / person = 75 kg
v — Step-band speed = 0.5 m/s
Ds — Drive sprocket Ø = 400 mm
k — Machine friction allowance = 120 %</t>
        </is>
      </c>
      <c r="F9" s="3" t="inlineStr">
        <is>
          <t>Steady-state passenger-lifting power + machine friction allowance k (CIBSE / Al-Sharif lift &amp; escalator sizing).</t>
        </is>
      </c>
    </row>
    <row r="10" ht="70" customHeight="1">
      <c r="A10" s="6" t="inlineStr">
        <is>
          <t>slew</t>
        </is>
      </c>
      <c r="B10" s="5" t="inlineStr">
        <is>
          <t>Crane / machine slewing drive</t>
        </is>
      </c>
      <c r="C10" s="5" t="inlineStr">
        <is>
          <t>J = m·r² ; α = (2π·n/60)/t ; T₂ = J·α + Tf</t>
        </is>
      </c>
      <c r="D10" s="5" t="inlineStr">
        <is>
          <t>n₂ = slew rpm</t>
        </is>
      </c>
      <c r="E10" s="5" t="inlineStr">
        <is>
          <t>m — Slewing mass = 5000 kg
r — Mass radius = 3 m
rpm — Slew speed = 1.5 rpm
t — Accel time = 5 s
Tf — Friction torque = 500 N·m</t>
        </is>
      </c>
      <c r="F10" s="5" t="inlineStr">
        <is>
          <t>Inertia (accel) torque + bearing/friction torque. Size on the starting torque, not running (slewing-bearing practice).</t>
        </is>
      </c>
    </row>
    <row r="11" ht="70" customHeight="1">
      <c r="A11" s="4" t="inlineStr">
        <is>
          <t>lift</t>
        </is>
      </c>
      <c r="B11" s="3" t="inlineStr">
        <is>
          <t>Passenger lift (traction)</t>
        </is>
      </c>
      <c r="C11" s="3" t="inlineStr">
        <is>
          <t>P = Q·(1−b)·g·v / 1000</t>
        </is>
      </c>
      <c r="D11" s="3" t="inlineStr">
        <is>
          <t>n₂ = 60·rf·v / (π·D)</t>
        </is>
      </c>
      <c r="E11" s="3" t="inlineStr">
        <is>
          <t>Q — Rated car load = 1000 kg
v — Rated speed = 1.0 m/s
b — Counterweight balance = 0.5
Ds — Traction sheave Ø = 600 mm
rf — Roping factor (1 or 2) = 1</t>
        </is>
      </c>
      <c r="F11" s="3" t="inlineStr">
        <is>
          <t>Out-of-balance load Q·(1−b); cw balances car + b·Q. Safety-critical: certified drive required.</t>
        </is>
      </c>
    </row>
    <row r="12" ht="60" customHeight="1">
      <c r="A12" s="6" t="inlineStr">
        <is>
          <t>agitator</t>
        </is>
      </c>
      <c r="B12" s="5" t="inlineStr">
        <is>
          <t>Mixer / agitator</t>
        </is>
      </c>
      <c r="C12" s="5" t="inlineStr">
        <is>
          <t>P = Np·ρ·N³·D⁵   (N = rpm/60, turbulent)</t>
        </is>
      </c>
      <c r="D12" s="5" t="inlineStr">
        <is>
          <t>n₂ = shaft rpm</t>
        </is>
      </c>
      <c r="E12" s="5" t="inlineStr">
        <is>
          <t>Np — Power number = 1.5
rho — Fluid density = 1000 kg/m³
D — Impeller Ø = 500 mm
rpm — Shaft speed = 60 rpm</t>
        </is>
      </c>
      <c r="F12" s="5" t="inlineStr">
        <is>
          <t>Turbulent-regime agitator power P = Np·ρ·N³·D⁵ (Rushton/standard).</t>
        </is>
      </c>
    </row>
    <row r="13" ht="70" customHeight="1">
      <c r="A13" s="4" t="inlineStr">
        <is>
          <t>kiln</t>
        </is>
      </c>
      <c r="B13" s="3" t="inlineStr">
        <is>
          <t>Rotary kiln / drying drum</t>
        </is>
      </c>
      <c r="C13" s="3" t="inlineStr">
        <is>
          <t>T₂ = (1+k)·m·g·(D/2)·e</t>
        </is>
      </c>
      <c r="D13" s="3" t="inlineStr">
        <is>
          <t>n₂ = kiln rpm</t>
        </is>
      </c>
      <c r="E13" s="3" t="inlineStr">
        <is>
          <t>D — Internal Ø = 3000 mm
m — Rotating load (mat.+lining) = 20000 kg
e — Eccentricity factor = 0.35
n — Rotation speed = 2 rpm
k — Riding/friction allowance = 20 %</t>
        </is>
      </c>
      <c r="F13" s="3" t="inlineStr">
        <is>
          <t>Material-movement torque: load weight × mean radius × eccentricity e (≈ sin of angle of repose).</t>
        </is>
      </c>
    </row>
    <row r="14" ht="60" customHeight="1">
      <c r="A14" s="6" t="inlineStr">
        <is>
          <t>extrude</t>
        </is>
      </c>
      <c r="B14" s="5" t="inlineStr">
        <is>
          <t>Extruder (screw)</t>
        </is>
      </c>
      <c r="C14" s="5" t="inlineStr">
        <is>
          <t>P = SME·Q ; T₂ = 9550·P / n</t>
        </is>
      </c>
      <c r="D14" s="5" t="inlineStr">
        <is>
          <t>n₂ = screw rpm</t>
        </is>
      </c>
      <c r="E14" s="5" t="inlineStr">
        <is>
          <t>Q — Throughput = 200 kg/h
SME — Specific mech. energy = 0.2 kWh/kg
n — Screw speed = 100 rpm</t>
        </is>
      </c>
      <c r="F14" s="5" t="inlineStr">
        <is>
          <t>Specific-mechanical-energy method. Screw torque T = 9550·P/n (single screw). Typical SME 0.1–0.3 kWh/kg.</t>
        </is>
      </c>
    </row>
    <row r="15" ht="70" customHeight="1">
      <c r="A15" s="4" t="inlineStr">
        <is>
          <t>pump</t>
        </is>
      </c>
      <c r="B15" s="3" t="inlineStr">
        <is>
          <t>Pump</t>
        </is>
      </c>
      <c r="C15" s="3" t="inlineStr">
        <is>
          <t>P = Q·H·SG / (367·η_pump)</t>
        </is>
      </c>
      <c r="D15" s="3" t="inlineStr">
        <is>
          <t>n₂ = pump rpm</t>
        </is>
      </c>
      <c r="E15" s="3" t="inlineStr">
        <is>
          <t>Q — Flow = 50 m³/h
H — Head = 30 m
SG — Specific gravity = 1.0
pe — Pump efficiency = 0.7
rpm — Pump speed = 1450 rpm</t>
        </is>
      </c>
      <c r="F15" s="3" t="inlineStr">
        <is>
          <t>Hydraulic power ρ·g·Q·H / pump efficiency; 367 constant for m³/h &amp; m.</t>
        </is>
      </c>
    </row>
    <row r="16" ht="60" customHeight="1">
      <c r="A16" s="6" t="inlineStr">
        <is>
          <t>fan</t>
        </is>
      </c>
      <c r="B16" s="5" t="inlineStr">
        <is>
          <t>Fan / blower</t>
        </is>
      </c>
      <c r="C16" s="5" t="inlineStr">
        <is>
          <t>P = (Q/3600)·Δp / (1000·η_fan)</t>
        </is>
      </c>
      <c r="D16" s="5" t="inlineStr">
        <is>
          <t>n₂ = fan rpm</t>
        </is>
      </c>
      <c r="E16" s="5" t="inlineStr">
        <is>
          <t>Q — Air flow = 5000 m³/h
dp — Pressure rise Δp = 1000 Pa
fe — Fan efficiency = 0.65
rpm — Fan speed = 1450 rpm</t>
        </is>
      </c>
      <c r="F16" s="5" t="inlineStr">
        <is>
          <t>Air power = volume flow × pressure rise / fan efficiency.</t>
        </is>
      </c>
    </row>
    <row r="17" ht="60" customHeight="1">
      <c r="A17" s="4" t="inlineStr">
        <is>
          <t>sec</t>
        </is>
      </c>
      <c r="B17" s="3" t="inlineStr">
        <is>
          <t>Grinding / crushing (specific energy)</t>
        </is>
      </c>
      <c r="C17" s="3" t="inlineStr">
        <is>
          <t>P = E·Q</t>
        </is>
      </c>
      <c r="D17" s="3" t="inlineStr">
        <is>
          <t>n₂ = output rpm</t>
        </is>
      </c>
      <c r="E17" s="3" t="inlineStr">
        <is>
          <t>Q — Throughput = 5 t/h
E — Specific energy = 8 kWh/t
rpm — Output speed = 100 rpm</t>
        </is>
      </c>
      <c r="F17" s="3" t="inlineStr">
        <is>
          <t>Comminution specific-energy method (Bond). E from material work index &amp; size reduction.</t>
        </is>
      </c>
    </row>
    <row r="18" ht="60" customHeight="1">
      <c r="A18" s="6" t="inlineStr">
        <is>
          <t>sifter</t>
        </is>
      </c>
      <c r="B18" s="5" t="inlineStr">
        <is>
          <t>Sifter / plansifter (gyratory)</t>
        </is>
      </c>
      <c r="C18" s="5" t="inlineStr">
        <is>
          <t>P = k·m·r²·ω³ / 1000   (ω = 2π·n/60)</t>
        </is>
      </c>
      <c r="D18" s="5" t="inlineStr">
        <is>
          <t>n₂ = drive rpm</t>
        </is>
      </c>
      <c r="E18" s="5" t="inlineStr">
        <is>
          <t>m — Gyrating mass = 300 kg
r — Gyration throw = 40 mm
n — Drive speed = 220 rpm
k — Damping / friction factor = 0.35</t>
        </is>
      </c>
      <c r="F18" s="5" t="inlineStr">
        <is>
          <t>Empirical inertial-power model for gyratory sieves; k = fraction of inertial power actually dissipated.</t>
        </is>
      </c>
    </row>
    <row r="19" ht="60" customHeight="1">
      <c r="A19" s="4" t="inlineStr">
        <is>
          <t>vibscreen</t>
        </is>
      </c>
      <c r="B19" s="3" t="inlineStr">
        <is>
          <t>Vibrating screen / shaker</t>
        </is>
      </c>
      <c r="C19" s="3" t="inlineStr">
        <is>
          <t>P = k·m·A²·ω³ / 1000   (ω = 2π·n/60)</t>
        </is>
      </c>
      <c r="D19" s="3" t="inlineStr">
        <is>
          <t>n₂ = exciter rpm</t>
        </is>
      </c>
      <c r="E19" s="3" t="inlineStr">
        <is>
          <t>m — Vibrating mass = 800 kg
A — Amplitude (single) = 5 mm
n — Exciter speed = 900 rpm
k — Power factor = 0.5</t>
        </is>
      </c>
      <c r="F19" s="3" t="inlineStr">
        <is>
          <t>Exciter force F = m·A·ω²; power ≈ F·(A·ω) = m·A²·ω³, × dissipation factor k.</t>
        </is>
      </c>
    </row>
    <row r="20" ht="70" customHeight="1">
      <c r="A20" s="6" t="inlineStr">
        <is>
          <t>rotable</t>
        </is>
      </c>
      <c r="B20" s="5" t="inlineStr">
        <is>
          <t>Rotary table / turntable</t>
        </is>
      </c>
      <c r="C20" s="5" t="inlineStr">
        <is>
          <t>J = 0.5·m·r² ; α = (2π·n/60)/t ; T₂ = J·α + Tf</t>
        </is>
      </c>
      <c r="D20" s="5" t="inlineStr">
        <is>
          <t>n₂ = table rpm</t>
        </is>
      </c>
      <c r="E20" s="5" t="inlineStr">
        <is>
          <t>m — Table + load mass = 2000 kg
r — Table radius = 800 mm
n — Operating speed = 5 rpm
t — Accel / index time = 3 s
Tf — Friction torque = 200 N·m</t>
        </is>
      </c>
      <c r="F20" s="5" t="inlineStr">
        <is>
          <t>Solid-disk inertia J=0.5·m·r² accelerated in time t, plus running friction Tf.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0" customWidth="1" min="5" max="5"/>
  </cols>
  <sheetData>
    <row r="1" ht="30" customHeight="1">
      <c r="A1" s="1" t="inlineStr">
        <is>
          <t>Editable input variables &amp; default values</t>
        </is>
      </c>
    </row>
    <row r="2">
      <c r="A2" s="2" t="inlineStr">
        <is>
          <t>Formula key</t>
        </is>
      </c>
      <c r="B2" s="2" t="inlineStr">
        <is>
          <t>Variable</t>
        </is>
      </c>
      <c r="C2" s="2" t="inlineStr">
        <is>
          <t>Meaning</t>
        </is>
      </c>
      <c r="D2" s="2" t="inlineStr">
        <is>
          <t>Default</t>
        </is>
      </c>
      <c r="E2" s="2" t="inlineStr">
        <is>
          <t>Unit</t>
        </is>
      </c>
    </row>
    <row r="3">
      <c r="A3" s="7" t="inlineStr">
        <is>
          <t>belt</t>
        </is>
      </c>
      <c r="B3" s="7" t="inlineStr">
        <is>
          <t>Q</t>
        </is>
      </c>
      <c r="C3" s="7" t="inlineStr">
        <is>
          <t>Throughput</t>
        </is>
      </c>
      <c r="D3" s="7" t="n">
        <v>100</v>
      </c>
      <c r="E3" s="7" t="inlineStr">
        <is>
          <t>t/h</t>
        </is>
      </c>
    </row>
    <row r="4">
      <c r="A4" s="8" t="inlineStr">
        <is>
          <t>belt</t>
        </is>
      </c>
      <c r="B4" s="8" t="inlineStr">
        <is>
          <t>L</t>
        </is>
      </c>
      <c r="C4" s="8" t="inlineStr">
        <is>
          <t>Length</t>
        </is>
      </c>
      <c r="D4" s="8" t="n">
        <v>30</v>
      </c>
      <c r="E4" s="8" t="inlineStr">
        <is>
          <t>m</t>
        </is>
      </c>
    </row>
    <row r="5">
      <c r="A5" s="7" t="inlineStr">
        <is>
          <t>belt</t>
        </is>
      </c>
      <c r="B5" s="7" t="inlineStr">
        <is>
          <t>H</t>
        </is>
      </c>
      <c r="C5" s="7" t="inlineStr">
        <is>
          <t>Lift height</t>
        </is>
      </c>
      <c r="D5" s="7" t="n">
        <v>5</v>
      </c>
      <c r="E5" s="7" t="inlineStr">
        <is>
          <t>m</t>
        </is>
      </c>
    </row>
    <row r="6">
      <c r="A6" s="8" t="inlineStr">
        <is>
          <t>belt</t>
        </is>
      </c>
      <c r="B6" s="8" t="inlineStr">
        <is>
          <t>v</t>
        </is>
      </c>
      <c r="C6" s="8" t="inlineStr">
        <is>
          <t>Belt speed</t>
        </is>
      </c>
      <c r="D6" s="8" t="n">
        <v>1.5</v>
      </c>
      <c r="E6" s="8" t="inlineStr">
        <is>
          <t>m/s</t>
        </is>
      </c>
    </row>
    <row r="7">
      <c r="A7" s="7" t="inlineStr">
        <is>
          <t>belt</t>
        </is>
      </c>
      <c r="B7" s="7" t="inlineStr">
        <is>
          <t>Dp</t>
        </is>
      </c>
      <c r="C7" s="7" t="inlineStr">
        <is>
          <t>Drive pulley Ø</t>
        </is>
      </c>
      <c r="D7" s="7" t="n">
        <v>315</v>
      </c>
      <c r="E7" s="7" t="inlineStr">
        <is>
          <t>mm</t>
        </is>
      </c>
    </row>
    <row r="8">
      <c r="A8" s="8" t="inlineStr">
        <is>
          <t>belt</t>
        </is>
      </c>
      <c r="B8" s="8" t="inlineStr">
        <is>
          <t>f</t>
        </is>
      </c>
      <c r="C8" s="8" t="inlineStr">
        <is>
          <t>Friction factor</t>
        </is>
      </c>
      <c r="D8" s="8" t="n">
        <v>0.035</v>
      </c>
      <c r="E8" s="8" t="inlineStr"/>
    </row>
    <row r="9">
      <c r="A9" s="7" t="inlineStr">
        <is>
          <t>belt</t>
        </is>
      </c>
      <c r="B9" s="7" t="inlineStr">
        <is>
          <t>k</t>
        </is>
      </c>
      <c r="C9" s="7" t="inlineStr">
        <is>
          <t>Idler / empty allowance</t>
        </is>
      </c>
      <c r="D9" s="7" t="n">
        <v>15</v>
      </c>
      <c r="E9" s="7" t="inlineStr">
        <is>
          <t>%</t>
        </is>
      </c>
    </row>
    <row r="10">
      <c r="A10" s="8" t="inlineStr">
        <is>
          <t>drag</t>
        </is>
      </c>
      <c r="B10" s="8" t="inlineStr">
        <is>
          <t>Q</t>
        </is>
      </c>
      <c r="C10" s="8" t="inlineStr">
        <is>
          <t>Throughput</t>
        </is>
      </c>
      <c r="D10" s="8" t="n">
        <v>80</v>
      </c>
      <c r="E10" s="8" t="inlineStr">
        <is>
          <t>t/h</t>
        </is>
      </c>
    </row>
    <row r="11">
      <c r="A11" s="7" t="inlineStr">
        <is>
          <t>drag</t>
        </is>
      </c>
      <c r="B11" s="7" t="inlineStr">
        <is>
          <t>L</t>
        </is>
      </c>
      <c r="C11" s="7" t="inlineStr">
        <is>
          <t>Length</t>
        </is>
      </c>
      <c r="D11" s="7" t="n">
        <v>20</v>
      </c>
      <c r="E11" s="7" t="inlineStr">
        <is>
          <t>m</t>
        </is>
      </c>
    </row>
    <row r="12">
      <c r="A12" s="8" t="inlineStr">
        <is>
          <t>drag</t>
        </is>
      </c>
      <c r="B12" s="8" t="inlineStr">
        <is>
          <t>H</t>
        </is>
      </c>
      <c r="C12" s="8" t="inlineStr">
        <is>
          <t>Lift height</t>
        </is>
      </c>
      <c r="D12" s="8" t="n">
        <v>3</v>
      </c>
      <c r="E12" s="8" t="inlineStr">
        <is>
          <t>m</t>
        </is>
      </c>
    </row>
    <row r="13">
      <c r="A13" s="7" t="inlineStr">
        <is>
          <t>drag</t>
        </is>
      </c>
      <c r="B13" s="7" t="inlineStr">
        <is>
          <t>v</t>
        </is>
      </c>
      <c r="C13" s="7" t="inlineStr">
        <is>
          <t>Chain speed</t>
        </is>
      </c>
      <c r="D13" s="7" t="n">
        <v>20</v>
      </c>
      <c r="E13" s="7" t="inlineStr">
        <is>
          <t>m/min</t>
        </is>
      </c>
    </row>
    <row r="14">
      <c r="A14" s="8" t="inlineStr">
        <is>
          <t>drag</t>
        </is>
      </c>
      <c r="B14" s="8" t="inlineStr">
        <is>
          <t>Dp</t>
        </is>
      </c>
      <c r="C14" s="8" t="inlineStr">
        <is>
          <t>Sprocket Ø</t>
        </is>
      </c>
      <c r="D14" s="8" t="n">
        <v>250</v>
      </c>
      <c r="E14" s="8" t="inlineStr">
        <is>
          <t>mm</t>
        </is>
      </c>
    </row>
    <row r="15">
      <c r="A15" s="7" t="inlineStr">
        <is>
          <t>drag</t>
        </is>
      </c>
      <c r="B15" s="7" t="inlineStr">
        <is>
          <t>f</t>
        </is>
      </c>
      <c r="C15" s="7" t="inlineStr">
        <is>
          <t>Friction factor</t>
        </is>
      </c>
      <c r="D15" s="7" t="n">
        <v>0.5</v>
      </c>
      <c r="E15" s="7" t="inlineStr"/>
    </row>
    <row r="16">
      <c r="A16" s="8" t="inlineStr">
        <is>
          <t>drag</t>
        </is>
      </c>
      <c r="B16" s="8" t="inlineStr">
        <is>
          <t>k</t>
        </is>
      </c>
      <c r="C16" s="8" t="inlineStr">
        <is>
          <t>Empty allowance</t>
        </is>
      </c>
      <c r="D16" s="8" t="n">
        <v>10</v>
      </c>
      <c r="E16" s="8" t="inlineStr">
        <is>
          <t>%</t>
        </is>
      </c>
    </row>
    <row r="17">
      <c r="A17" s="7" t="inlineStr">
        <is>
          <t>screw</t>
        </is>
      </c>
      <c r="B17" s="7" t="inlineStr">
        <is>
          <t>Q</t>
        </is>
      </c>
      <c r="C17" s="7" t="inlineStr">
        <is>
          <t>Throughput</t>
        </is>
      </c>
      <c r="D17" s="7" t="n">
        <v>20</v>
      </c>
      <c r="E17" s="7" t="inlineStr">
        <is>
          <t>t/h</t>
        </is>
      </c>
    </row>
    <row r="18">
      <c r="A18" s="8" t="inlineStr">
        <is>
          <t>screw</t>
        </is>
      </c>
      <c r="B18" s="8" t="inlineStr">
        <is>
          <t>L</t>
        </is>
      </c>
      <c r="C18" s="8" t="inlineStr">
        <is>
          <t>Length</t>
        </is>
      </c>
      <c r="D18" s="8" t="n">
        <v>10</v>
      </c>
      <c r="E18" s="8" t="inlineStr">
        <is>
          <t>m</t>
        </is>
      </c>
    </row>
    <row r="19">
      <c r="A19" s="7" t="inlineStr">
        <is>
          <t>screw</t>
        </is>
      </c>
      <c r="B19" s="7" t="inlineStr">
        <is>
          <t>H</t>
        </is>
      </c>
      <c r="C19" s="7" t="inlineStr">
        <is>
          <t>Lift height</t>
        </is>
      </c>
      <c r="D19" s="7" t="n">
        <v>0</v>
      </c>
      <c r="E19" s="7" t="inlineStr">
        <is>
          <t>m</t>
        </is>
      </c>
    </row>
    <row r="20">
      <c r="A20" s="8" t="inlineStr">
        <is>
          <t>screw</t>
        </is>
      </c>
      <c r="B20" s="8" t="inlineStr">
        <is>
          <t>Fm</t>
        </is>
      </c>
      <c r="C20" s="8" t="inlineStr">
        <is>
          <t>Material factor</t>
        </is>
      </c>
      <c r="D20" s="8" t="n">
        <v>2.5</v>
      </c>
      <c r="E20" s="8" t="inlineStr"/>
    </row>
    <row r="21">
      <c r="A21" s="7" t="inlineStr">
        <is>
          <t>screw</t>
        </is>
      </c>
      <c r="B21" s="7" t="inlineStr">
        <is>
          <t>rpm</t>
        </is>
      </c>
      <c r="C21" s="7" t="inlineStr">
        <is>
          <t>Screw speed</t>
        </is>
      </c>
      <c r="D21" s="7" t="n">
        <v>60</v>
      </c>
      <c r="E21" s="7" t="inlineStr">
        <is>
          <t>rpm</t>
        </is>
      </c>
    </row>
    <row r="22">
      <c r="A22" s="8" t="inlineStr">
        <is>
          <t>elevator</t>
        </is>
      </c>
      <c r="B22" s="8" t="inlineStr">
        <is>
          <t>Q</t>
        </is>
      </c>
      <c r="C22" s="8" t="inlineStr">
        <is>
          <t>Throughput</t>
        </is>
      </c>
      <c r="D22" s="8" t="n">
        <v>50</v>
      </c>
      <c r="E22" s="8" t="inlineStr">
        <is>
          <t>t/h</t>
        </is>
      </c>
    </row>
    <row r="23">
      <c r="A23" s="7" t="inlineStr">
        <is>
          <t>elevator</t>
        </is>
      </c>
      <c r="B23" s="7" t="inlineStr">
        <is>
          <t>H</t>
        </is>
      </c>
      <c r="C23" s="7" t="inlineStr">
        <is>
          <t>Lift height</t>
        </is>
      </c>
      <c r="D23" s="7" t="n">
        <v>20</v>
      </c>
      <c r="E23" s="7" t="inlineStr">
        <is>
          <t>m</t>
        </is>
      </c>
    </row>
    <row r="24">
      <c r="A24" s="8" t="inlineStr">
        <is>
          <t>elevator</t>
        </is>
      </c>
      <c r="B24" s="8" t="inlineStr">
        <is>
          <t>v</t>
        </is>
      </c>
      <c r="C24" s="8" t="inlineStr">
        <is>
          <t>Belt/chain speed</t>
        </is>
      </c>
      <c r="D24" s="8" t="n">
        <v>1.5</v>
      </c>
      <c r="E24" s="8" t="inlineStr">
        <is>
          <t>m/s</t>
        </is>
      </c>
    </row>
    <row r="25">
      <c r="A25" s="7" t="inlineStr">
        <is>
          <t>elevator</t>
        </is>
      </c>
      <c r="B25" s="7" t="inlineStr">
        <is>
          <t>Dp</t>
        </is>
      </c>
      <c r="C25" s="7" t="inlineStr">
        <is>
          <t>Head pulley Ø</t>
        </is>
      </c>
      <c r="D25" s="7" t="n">
        <v>500</v>
      </c>
      <c r="E25" s="7" t="inlineStr">
        <is>
          <t>mm</t>
        </is>
      </c>
    </row>
    <row r="26">
      <c r="A26" s="8" t="inlineStr">
        <is>
          <t>elevator</t>
        </is>
      </c>
      <c r="B26" s="8" t="inlineStr">
        <is>
          <t>k</t>
        </is>
      </c>
      <c r="C26" s="8" t="inlineStr">
        <is>
          <t>Fill / scoop factor</t>
        </is>
      </c>
      <c r="D26" s="8" t="n">
        <v>1.25</v>
      </c>
      <c r="E26" s="8" t="inlineStr"/>
    </row>
    <row r="27">
      <c r="A27" s="7" t="inlineStr">
        <is>
          <t>hoist</t>
        </is>
      </c>
      <c r="B27" s="7" t="inlineStr">
        <is>
          <t>m</t>
        </is>
      </c>
      <c r="C27" s="7" t="inlineStr">
        <is>
          <t>Load on hook</t>
        </is>
      </c>
      <c r="D27" s="7" t="n">
        <v>5000</v>
      </c>
      <c r="E27" s="7" t="inlineStr">
        <is>
          <t>kg</t>
        </is>
      </c>
    </row>
    <row r="28">
      <c r="A28" s="8" t="inlineStr">
        <is>
          <t>hoist</t>
        </is>
      </c>
      <c r="B28" s="8" t="inlineStr">
        <is>
          <t>v</t>
        </is>
      </c>
      <c r="C28" s="8" t="inlineStr">
        <is>
          <t>Lift speed</t>
        </is>
      </c>
      <c r="D28" s="8" t="n">
        <v>8</v>
      </c>
      <c r="E28" s="8" t="inlineStr">
        <is>
          <t>m/min</t>
        </is>
      </c>
    </row>
    <row r="29">
      <c r="A29" s="7" t="inlineStr">
        <is>
          <t>hoist</t>
        </is>
      </c>
      <c r="B29" s="7" t="inlineStr">
        <is>
          <t>D</t>
        </is>
      </c>
      <c r="C29" s="7" t="inlineStr">
        <is>
          <t>Drum Ø</t>
        </is>
      </c>
      <c r="D29" s="7" t="n">
        <v>400</v>
      </c>
      <c r="E29" s="7" t="inlineStr">
        <is>
          <t>mm</t>
        </is>
      </c>
    </row>
    <row r="30">
      <c r="A30" s="8" t="inlineStr">
        <is>
          <t>hoist</t>
        </is>
      </c>
      <c r="B30" s="8" t="inlineStr">
        <is>
          <t>falls</t>
        </is>
      </c>
      <c r="C30" s="8" t="inlineStr">
        <is>
          <t>Rope falls</t>
        </is>
      </c>
      <c r="D30" s="8" t="n">
        <v>2</v>
      </c>
      <c r="E30" s="8" t="inlineStr"/>
    </row>
    <row r="31">
      <c r="A31" s="7" t="inlineStr">
        <is>
          <t>hoist</t>
        </is>
      </c>
      <c r="B31" s="7" t="inlineStr">
        <is>
          <t>reev</t>
        </is>
      </c>
      <c r="C31" s="7" t="inlineStr">
        <is>
          <t>Reeving efficiency</t>
        </is>
      </c>
      <c r="D31" s="7" t="n">
        <v>0.95</v>
      </c>
      <c r="E31" s="7" t="inlineStr"/>
    </row>
    <row r="32">
      <c r="A32" s="8" t="inlineStr">
        <is>
          <t>travel</t>
        </is>
      </c>
      <c r="B32" s="8" t="inlineStr">
        <is>
          <t>m</t>
        </is>
      </c>
      <c r="C32" s="8" t="inlineStr">
        <is>
          <t>Total moving mass</t>
        </is>
      </c>
      <c r="D32" s="8" t="n">
        <v>10000</v>
      </c>
      <c r="E32" s="8" t="inlineStr">
        <is>
          <t>kg</t>
        </is>
      </c>
    </row>
    <row r="33">
      <c r="A33" s="7" t="inlineStr">
        <is>
          <t>travel</t>
        </is>
      </c>
      <c r="B33" s="7" t="inlineStr">
        <is>
          <t>v</t>
        </is>
      </c>
      <c r="C33" s="7" t="inlineStr">
        <is>
          <t>Travel speed</t>
        </is>
      </c>
      <c r="D33" s="7" t="n">
        <v>20</v>
      </c>
      <c r="E33" s="7" t="inlineStr">
        <is>
          <t>m/min</t>
        </is>
      </c>
    </row>
    <row r="34">
      <c r="A34" s="8" t="inlineStr">
        <is>
          <t>travel</t>
        </is>
      </c>
      <c r="B34" s="8" t="inlineStr">
        <is>
          <t>Dw</t>
        </is>
      </c>
      <c r="C34" s="8" t="inlineStr">
        <is>
          <t>Wheel Ø</t>
        </is>
      </c>
      <c r="D34" s="8" t="n">
        <v>400</v>
      </c>
      <c r="E34" s="8" t="inlineStr">
        <is>
          <t>mm</t>
        </is>
      </c>
    </row>
    <row r="35">
      <c r="A35" s="7" t="inlineStr">
        <is>
          <t>travel</t>
        </is>
      </c>
      <c r="B35" s="7" t="inlineStr">
        <is>
          <t>w</t>
        </is>
      </c>
      <c r="C35" s="7" t="inlineStr">
        <is>
          <t>Travel resistance</t>
        </is>
      </c>
      <c r="D35" s="7" t="n">
        <v>0.02</v>
      </c>
      <c r="E35" s="7" t="inlineStr"/>
    </row>
    <row r="36">
      <c r="A36" s="8" t="inlineStr">
        <is>
          <t>escalator</t>
        </is>
      </c>
      <c r="B36" s="8" t="inlineStr">
        <is>
          <t>H</t>
        </is>
      </c>
      <c r="C36" s="8" t="inlineStr">
        <is>
          <t>Vertical rise</t>
        </is>
      </c>
      <c r="D36" s="8" t="n">
        <v>6</v>
      </c>
      <c r="E36" s="8" t="inlineStr">
        <is>
          <t>m</t>
        </is>
      </c>
    </row>
    <row r="37">
      <c r="A37" s="7" t="inlineStr">
        <is>
          <t>escalator</t>
        </is>
      </c>
      <c r="B37" s="7" t="inlineStr">
        <is>
          <t>pax</t>
        </is>
      </c>
      <c r="C37" s="7" t="inlineStr">
        <is>
          <t>Passengers / hour</t>
        </is>
      </c>
      <c r="D37" s="7" t="n">
        <v>6000</v>
      </c>
      <c r="E37" s="7" t="inlineStr">
        <is>
          <t>p/h</t>
        </is>
      </c>
    </row>
    <row r="38">
      <c r="A38" s="8" t="inlineStr">
        <is>
          <t>escalator</t>
        </is>
      </c>
      <c r="B38" s="8" t="inlineStr">
        <is>
          <t>mp</t>
        </is>
      </c>
      <c r="C38" s="8" t="inlineStr">
        <is>
          <t>Avg mass / person</t>
        </is>
      </c>
      <c r="D38" s="8" t="n">
        <v>75</v>
      </c>
      <c r="E38" s="8" t="inlineStr">
        <is>
          <t>kg</t>
        </is>
      </c>
    </row>
    <row r="39">
      <c r="A39" s="7" t="inlineStr">
        <is>
          <t>escalator</t>
        </is>
      </c>
      <c r="B39" s="7" t="inlineStr">
        <is>
          <t>v</t>
        </is>
      </c>
      <c r="C39" s="7" t="inlineStr">
        <is>
          <t>Step-band speed</t>
        </is>
      </c>
      <c r="D39" s="7" t="n">
        <v>0.5</v>
      </c>
      <c r="E39" s="7" t="inlineStr">
        <is>
          <t>m/s</t>
        </is>
      </c>
    </row>
    <row r="40">
      <c r="A40" s="8" t="inlineStr">
        <is>
          <t>escalator</t>
        </is>
      </c>
      <c r="B40" s="8" t="inlineStr">
        <is>
          <t>Ds</t>
        </is>
      </c>
      <c r="C40" s="8" t="inlineStr">
        <is>
          <t>Drive sprocket Ø</t>
        </is>
      </c>
      <c r="D40" s="8" t="n">
        <v>400</v>
      </c>
      <c r="E40" s="8" t="inlineStr">
        <is>
          <t>mm</t>
        </is>
      </c>
    </row>
    <row r="41">
      <c r="A41" s="7" t="inlineStr">
        <is>
          <t>escalator</t>
        </is>
      </c>
      <c r="B41" s="7" t="inlineStr">
        <is>
          <t>k</t>
        </is>
      </c>
      <c r="C41" s="7" t="inlineStr">
        <is>
          <t>Machine friction allowance</t>
        </is>
      </c>
      <c r="D41" s="7" t="n">
        <v>120</v>
      </c>
      <c r="E41" s="7" t="inlineStr">
        <is>
          <t>%</t>
        </is>
      </c>
    </row>
    <row r="42">
      <c r="A42" s="8" t="inlineStr">
        <is>
          <t>slew</t>
        </is>
      </c>
      <c r="B42" s="8" t="inlineStr">
        <is>
          <t>m</t>
        </is>
      </c>
      <c r="C42" s="8" t="inlineStr">
        <is>
          <t>Slewing mass</t>
        </is>
      </c>
      <c r="D42" s="8" t="n">
        <v>5000</v>
      </c>
      <c r="E42" s="8" t="inlineStr">
        <is>
          <t>kg</t>
        </is>
      </c>
    </row>
    <row r="43">
      <c r="A43" s="7" t="inlineStr">
        <is>
          <t>slew</t>
        </is>
      </c>
      <c r="B43" s="7" t="inlineStr">
        <is>
          <t>r</t>
        </is>
      </c>
      <c r="C43" s="7" t="inlineStr">
        <is>
          <t>Mass radius</t>
        </is>
      </c>
      <c r="D43" s="7" t="n">
        <v>3</v>
      </c>
      <c r="E43" s="7" t="inlineStr">
        <is>
          <t>m</t>
        </is>
      </c>
    </row>
    <row r="44">
      <c r="A44" s="8" t="inlineStr">
        <is>
          <t>slew</t>
        </is>
      </c>
      <c r="B44" s="8" t="inlineStr">
        <is>
          <t>rpm</t>
        </is>
      </c>
      <c r="C44" s="8" t="inlineStr">
        <is>
          <t>Slew speed</t>
        </is>
      </c>
      <c r="D44" s="8" t="n">
        <v>1.5</v>
      </c>
      <c r="E44" s="8" t="inlineStr">
        <is>
          <t>rpm</t>
        </is>
      </c>
    </row>
    <row r="45">
      <c r="A45" s="7" t="inlineStr">
        <is>
          <t>slew</t>
        </is>
      </c>
      <c r="B45" s="7" t="inlineStr">
        <is>
          <t>t</t>
        </is>
      </c>
      <c r="C45" s="7" t="inlineStr">
        <is>
          <t>Accel time</t>
        </is>
      </c>
      <c r="D45" s="7" t="n">
        <v>5</v>
      </c>
      <c r="E45" s="7" t="inlineStr">
        <is>
          <t>s</t>
        </is>
      </c>
    </row>
    <row r="46">
      <c r="A46" s="8" t="inlineStr">
        <is>
          <t>slew</t>
        </is>
      </c>
      <c r="B46" s="8" t="inlineStr">
        <is>
          <t>Tf</t>
        </is>
      </c>
      <c r="C46" s="8" t="inlineStr">
        <is>
          <t>Friction torque</t>
        </is>
      </c>
      <c r="D46" s="8" t="n">
        <v>500</v>
      </c>
      <c r="E46" s="8" t="inlineStr">
        <is>
          <t>N·m</t>
        </is>
      </c>
    </row>
    <row r="47">
      <c r="A47" s="7" t="inlineStr">
        <is>
          <t>lift</t>
        </is>
      </c>
      <c r="B47" s="7" t="inlineStr">
        <is>
          <t>Q</t>
        </is>
      </c>
      <c r="C47" s="7" t="inlineStr">
        <is>
          <t>Rated car load</t>
        </is>
      </c>
      <c r="D47" s="7" t="n">
        <v>1000</v>
      </c>
      <c r="E47" s="7" t="inlineStr">
        <is>
          <t>kg</t>
        </is>
      </c>
    </row>
    <row r="48">
      <c r="A48" s="8" t="inlineStr">
        <is>
          <t>lift</t>
        </is>
      </c>
      <c r="B48" s="8" t="inlineStr">
        <is>
          <t>v</t>
        </is>
      </c>
      <c r="C48" s="8" t="inlineStr">
        <is>
          <t>Rated speed</t>
        </is>
      </c>
      <c r="D48" s="8" t="n">
        <v>1</v>
      </c>
      <c r="E48" s="8" t="inlineStr">
        <is>
          <t>m/s</t>
        </is>
      </c>
    </row>
    <row r="49">
      <c r="A49" s="7" t="inlineStr">
        <is>
          <t>lift</t>
        </is>
      </c>
      <c r="B49" s="7" t="inlineStr">
        <is>
          <t>b</t>
        </is>
      </c>
      <c r="C49" s="7" t="inlineStr">
        <is>
          <t>Counterweight balance</t>
        </is>
      </c>
      <c r="D49" s="7" t="n">
        <v>0.5</v>
      </c>
      <c r="E49" s="7" t="inlineStr"/>
    </row>
    <row r="50">
      <c r="A50" s="8" t="inlineStr">
        <is>
          <t>lift</t>
        </is>
      </c>
      <c r="B50" s="8" t="inlineStr">
        <is>
          <t>Ds</t>
        </is>
      </c>
      <c r="C50" s="8" t="inlineStr">
        <is>
          <t>Traction sheave Ø</t>
        </is>
      </c>
      <c r="D50" s="8" t="n">
        <v>600</v>
      </c>
      <c r="E50" s="8" t="inlineStr">
        <is>
          <t>mm</t>
        </is>
      </c>
    </row>
    <row r="51">
      <c r="A51" s="7" t="inlineStr">
        <is>
          <t>lift</t>
        </is>
      </c>
      <c r="B51" s="7" t="inlineStr">
        <is>
          <t>rf</t>
        </is>
      </c>
      <c r="C51" s="7" t="inlineStr">
        <is>
          <t>Roping factor (1 or 2)</t>
        </is>
      </c>
      <c r="D51" s="7" t="n">
        <v>1</v>
      </c>
      <c r="E51" s="7" t="inlineStr"/>
    </row>
    <row r="52">
      <c r="A52" s="8" t="inlineStr">
        <is>
          <t>agitator</t>
        </is>
      </c>
      <c r="B52" s="8" t="inlineStr">
        <is>
          <t>Np</t>
        </is>
      </c>
      <c r="C52" s="8" t="inlineStr">
        <is>
          <t>Power number</t>
        </is>
      </c>
      <c r="D52" s="8" t="n">
        <v>1.5</v>
      </c>
      <c r="E52" s="8" t="inlineStr"/>
    </row>
    <row r="53">
      <c r="A53" s="7" t="inlineStr">
        <is>
          <t>agitator</t>
        </is>
      </c>
      <c r="B53" s="7" t="inlineStr">
        <is>
          <t>rho</t>
        </is>
      </c>
      <c r="C53" s="7" t="inlineStr">
        <is>
          <t>Fluid density</t>
        </is>
      </c>
      <c r="D53" s="7" t="n">
        <v>1000</v>
      </c>
      <c r="E53" s="7" t="inlineStr">
        <is>
          <t>kg/m³</t>
        </is>
      </c>
    </row>
    <row r="54">
      <c r="A54" s="8" t="inlineStr">
        <is>
          <t>agitator</t>
        </is>
      </c>
      <c r="B54" s="8" t="inlineStr">
        <is>
          <t>D</t>
        </is>
      </c>
      <c r="C54" s="8" t="inlineStr">
        <is>
          <t>Impeller Ø</t>
        </is>
      </c>
      <c r="D54" s="8" t="n">
        <v>500</v>
      </c>
      <c r="E54" s="8" t="inlineStr">
        <is>
          <t>mm</t>
        </is>
      </c>
    </row>
    <row r="55">
      <c r="A55" s="7" t="inlineStr">
        <is>
          <t>agitator</t>
        </is>
      </c>
      <c r="B55" s="7" t="inlineStr">
        <is>
          <t>rpm</t>
        </is>
      </c>
      <c r="C55" s="7" t="inlineStr">
        <is>
          <t>Shaft speed</t>
        </is>
      </c>
      <c r="D55" s="7" t="n">
        <v>60</v>
      </c>
      <c r="E55" s="7" t="inlineStr">
        <is>
          <t>rpm</t>
        </is>
      </c>
    </row>
    <row r="56">
      <c r="A56" s="8" t="inlineStr">
        <is>
          <t>kiln</t>
        </is>
      </c>
      <c r="B56" s="8" t="inlineStr">
        <is>
          <t>D</t>
        </is>
      </c>
      <c r="C56" s="8" t="inlineStr">
        <is>
          <t>Internal Ø</t>
        </is>
      </c>
      <c r="D56" s="8" t="n">
        <v>3000</v>
      </c>
      <c r="E56" s="8" t="inlineStr">
        <is>
          <t>mm</t>
        </is>
      </c>
    </row>
    <row r="57">
      <c r="A57" s="7" t="inlineStr">
        <is>
          <t>kiln</t>
        </is>
      </c>
      <c r="B57" s="7" t="inlineStr">
        <is>
          <t>m</t>
        </is>
      </c>
      <c r="C57" s="7" t="inlineStr">
        <is>
          <t>Rotating load (mat.+lining)</t>
        </is>
      </c>
      <c r="D57" s="7" t="n">
        <v>20000</v>
      </c>
      <c r="E57" s="7" t="inlineStr">
        <is>
          <t>kg</t>
        </is>
      </c>
    </row>
    <row r="58">
      <c r="A58" s="8" t="inlineStr">
        <is>
          <t>kiln</t>
        </is>
      </c>
      <c r="B58" s="8" t="inlineStr">
        <is>
          <t>e</t>
        </is>
      </c>
      <c r="C58" s="8" t="inlineStr">
        <is>
          <t>Eccentricity factor</t>
        </is>
      </c>
      <c r="D58" s="8" t="n">
        <v>0.35</v>
      </c>
      <c r="E58" s="8" t="inlineStr"/>
    </row>
    <row r="59">
      <c r="A59" s="7" t="inlineStr">
        <is>
          <t>kiln</t>
        </is>
      </c>
      <c r="B59" s="7" t="inlineStr">
        <is>
          <t>n</t>
        </is>
      </c>
      <c r="C59" s="7" t="inlineStr">
        <is>
          <t>Rotation speed</t>
        </is>
      </c>
      <c r="D59" s="7" t="n">
        <v>2</v>
      </c>
      <c r="E59" s="7" t="inlineStr">
        <is>
          <t>rpm</t>
        </is>
      </c>
    </row>
    <row r="60">
      <c r="A60" s="8" t="inlineStr">
        <is>
          <t>kiln</t>
        </is>
      </c>
      <c r="B60" s="8" t="inlineStr">
        <is>
          <t>k</t>
        </is>
      </c>
      <c r="C60" s="8" t="inlineStr">
        <is>
          <t>Riding/friction allowance</t>
        </is>
      </c>
      <c r="D60" s="8" t="n">
        <v>20</v>
      </c>
      <c r="E60" s="8" t="inlineStr">
        <is>
          <t>%</t>
        </is>
      </c>
    </row>
    <row r="61">
      <c r="A61" s="7" t="inlineStr">
        <is>
          <t>extrude</t>
        </is>
      </c>
      <c r="B61" s="7" t="inlineStr">
        <is>
          <t>Q</t>
        </is>
      </c>
      <c r="C61" s="7" t="inlineStr">
        <is>
          <t>Throughput</t>
        </is>
      </c>
      <c r="D61" s="7" t="n">
        <v>200</v>
      </c>
      <c r="E61" s="7" t="inlineStr">
        <is>
          <t>kg/h</t>
        </is>
      </c>
    </row>
    <row r="62">
      <c r="A62" s="8" t="inlineStr">
        <is>
          <t>extrude</t>
        </is>
      </c>
      <c r="B62" s="8" t="inlineStr">
        <is>
          <t>SME</t>
        </is>
      </c>
      <c r="C62" s="8" t="inlineStr">
        <is>
          <t>Specific mech. energy</t>
        </is>
      </c>
      <c r="D62" s="8" t="n">
        <v>0.2</v>
      </c>
      <c r="E62" s="8" t="inlineStr">
        <is>
          <t>kWh/kg</t>
        </is>
      </c>
    </row>
    <row r="63">
      <c r="A63" s="7" t="inlineStr">
        <is>
          <t>extrude</t>
        </is>
      </c>
      <c r="B63" s="7" t="inlineStr">
        <is>
          <t>n</t>
        </is>
      </c>
      <c r="C63" s="7" t="inlineStr">
        <is>
          <t>Screw speed</t>
        </is>
      </c>
      <c r="D63" s="7" t="n">
        <v>100</v>
      </c>
      <c r="E63" s="7" t="inlineStr">
        <is>
          <t>rpm</t>
        </is>
      </c>
    </row>
    <row r="64">
      <c r="A64" s="8" t="inlineStr">
        <is>
          <t>pump</t>
        </is>
      </c>
      <c r="B64" s="8" t="inlineStr">
        <is>
          <t>Q</t>
        </is>
      </c>
      <c r="C64" s="8" t="inlineStr">
        <is>
          <t>Flow</t>
        </is>
      </c>
      <c r="D64" s="8" t="n">
        <v>50</v>
      </c>
      <c r="E64" s="8" t="inlineStr">
        <is>
          <t>m³/h</t>
        </is>
      </c>
    </row>
    <row r="65">
      <c r="A65" s="7" t="inlineStr">
        <is>
          <t>pump</t>
        </is>
      </c>
      <c r="B65" s="7" t="inlineStr">
        <is>
          <t>H</t>
        </is>
      </c>
      <c r="C65" s="7" t="inlineStr">
        <is>
          <t>Head</t>
        </is>
      </c>
      <c r="D65" s="7" t="n">
        <v>30</v>
      </c>
      <c r="E65" s="7" t="inlineStr">
        <is>
          <t>m</t>
        </is>
      </c>
    </row>
    <row r="66">
      <c r="A66" s="8" t="inlineStr">
        <is>
          <t>pump</t>
        </is>
      </c>
      <c r="B66" s="8" t="inlineStr">
        <is>
          <t>SG</t>
        </is>
      </c>
      <c r="C66" s="8" t="inlineStr">
        <is>
          <t>Specific gravity</t>
        </is>
      </c>
      <c r="D66" s="8" t="n">
        <v>1</v>
      </c>
      <c r="E66" s="8" t="inlineStr"/>
    </row>
    <row r="67">
      <c r="A67" s="7" t="inlineStr">
        <is>
          <t>pump</t>
        </is>
      </c>
      <c r="B67" s="7" t="inlineStr">
        <is>
          <t>pe</t>
        </is>
      </c>
      <c r="C67" s="7" t="inlineStr">
        <is>
          <t>Pump efficiency</t>
        </is>
      </c>
      <c r="D67" s="7" t="n">
        <v>0.7</v>
      </c>
      <c r="E67" s="7" t="inlineStr"/>
    </row>
    <row r="68">
      <c r="A68" s="8" t="inlineStr">
        <is>
          <t>pump</t>
        </is>
      </c>
      <c r="B68" s="8" t="inlineStr">
        <is>
          <t>rpm</t>
        </is>
      </c>
      <c r="C68" s="8" t="inlineStr">
        <is>
          <t>Pump speed</t>
        </is>
      </c>
      <c r="D68" s="8" t="n">
        <v>1450</v>
      </c>
      <c r="E68" s="8" t="inlineStr">
        <is>
          <t>rpm</t>
        </is>
      </c>
    </row>
    <row r="69">
      <c r="A69" s="7" t="inlineStr">
        <is>
          <t>fan</t>
        </is>
      </c>
      <c r="B69" s="7" t="inlineStr">
        <is>
          <t>Q</t>
        </is>
      </c>
      <c r="C69" s="7" t="inlineStr">
        <is>
          <t>Air flow</t>
        </is>
      </c>
      <c r="D69" s="7" t="n">
        <v>5000</v>
      </c>
      <c r="E69" s="7" t="inlineStr">
        <is>
          <t>m³/h</t>
        </is>
      </c>
    </row>
    <row r="70">
      <c r="A70" s="8" t="inlineStr">
        <is>
          <t>fan</t>
        </is>
      </c>
      <c r="B70" s="8" t="inlineStr">
        <is>
          <t>dp</t>
        </is>
      </c>
      <c r="C70" s="8" t="inlineStr">
        <is>
          <t>Pressure rise Δp</t>
        </is>
      </c>
      <c r="D70" s="8" t="n">
        <v>1000</v>
      </c>
      <c r="E70" s="8" t="inlineStr">
        <is>
          <t>Pa</t>
        </is>
      </c>
    </row>
    <row r="71">
      <c r="A71" s="7" t="inlineStr">
        <is>
          <t>fan</t>
        </is>
      </c>
      <c r="B71" s="7" t="inlineStr">
        <is>
          <t>fe</t>
        </is>
      </c>
      <c r="C71" s="7" t="inlineStr">
        <is>
          <t>Fan efficiency</t>
        </is>
      </c>
      <c r="D71" s="7" t="n">
        <v>0.65</v>
      </c>
      <c r="E71" s="7" t="inlineStr"/>
    </row>
    <row r="72">
      <c r="A72" s="8" t="inlineStr">
        <is>
          <t>fan</t>
        </is>
      </c>
      <c r="B72" s="8" t="inlineStr">
        <is>
          <t>rpm</t>
        </is>
      </c>
      <c r="C72" s="8" t="inlineStr">
        <is>
          <t>Fan speed</t>
        </is>
      </c>
      <c r="D72" s="8" t="n">
        <v>1450</v>
      </c>
      <c r="E72" s="8" t="inlineStr">
        <is>
          <t>rpm</t>
        </is>
      </c>
    </row>
    <row r="73">
      <c r="A73" s="7" t="inlineStr">
        <is>
          <t>sec</t>
        </is>
      </c>
      <c r="B73" s="7" t="inlineStr">
        <is>
          <t>Q</t>
        </is>
      </c>
      <c r="C73" s="7" t="inlineStr">
        <is>
          <t>Throughput</t>
        </is>
      </c>
      <c r="D73" s="7" t="n">
        <v>5</v>
      </c>
      <c r="E73" s="7" t="inlineStr">
        <is>
          <t>t/h</t>
        </is>
      </c>
    </row>
    <row r="74">
      <c r="A74" s="8" t="inlineStr">
        <is>
          <t>sec</t>
        </is>
      </c>
      <c r="B74" s="8" t="inlineStr">
        <is>
          <t>E</t>
        </is>
      </c>
      <c r="C74" s="8" t="inlineStr">
        <is>
          <t>Specific energy</t>
        </is>
      </c>
      <c r="D74" s="8" t="n">
        <v>8</v>
      </c>
      <c r="E74" s="8" t="inlineStr">
        <is>
          <t>kWh/t</t>
        </is>
      </c>
    </row>
    <row r="75">
      <c r="A75" s="7" t="inlineStr">
        <is>
          <t>sec</t>
        </is>
      </c>
      <c r="B75" s="7" t="inlineStr">
        <is>
          <t>rpm</t>
        </is>
      </c>
      <c r="C75" s="7" t="inlineStr">
        <is>
          <t>Output speed</t>
        </is>
      </c>
      <c r="D75" s="7" t="n">
        <v>100</v>
      </c>
      <c r="E75" s="7" t="inlineStr">
        <is>
          <t>rpm</t>
        </is>
      </c>
    </row>
    <row r="76">
      <c r="A76" s="8" t="inlineStr">
        <is>
          <t>sifter</t>
        </is>
      </c>
      <c r="B76" s="8" t="inlineStr">
        <is>
          <t>m</t>
        </is>
      </c>
      <c r="C76" s="8" t="inlineStr">
        <is>
          <t>Gyrating mass</t>
        </is>
      </c>
      <c r="D76" s="8" t="n">
        <v>300</v>
      </c>
      <c r="E76" s="8" t="inlineStr">
        <is>
          <t>kg</t>
        </is>
      </c>
    </row>
    <row r="77">
      <c r="A77" s="7" t="inlineStr">
        <is>
          <t>sifter</t>
        </is>
      </c>
      <c r="B77" s="7" t="inlineStr">
        <is>
          <t>r</t>
        </is>
      </c>
      <c r="C77" s="7" t="inlineStr">
        <is>
          <t>Gyration throw</t>
        </is>
      </c>
      <c r="D77" s="7" t="n">
        <v>40</v>
      </c>
      <c r="E77" s="7" t="inlineStr">
        <is>
          <t>mm</t>
        </is>
      </c>
    </row>
    <row r="78">
      <c r="A78" s="8" t="inlineStr">
        <is>
          <t>sifter</t>
        </is>
      </c>
      <c r="B78" s="8" t="inlineStr">
        <is>
          <t>n</t>
        </is>
      </c>
      <c r="C78" s="8" t="inlineStr">
        <is>
          <t>Drive speed</t>
        </is>
      </c>
      <c r="D78" s="8" t="n">
        <v>220</v>
      </c>
      <c r="E78" s="8" t="inlineStr">
        <is>
          <t>rpm</t>
        </is>
      </c>
    </row>
    <row r="79">
      <c r="A79" s="7" t="inlineStr">
        <is>
          <t>sifter</t>
        </is>
      </c>
      <c r="B79" s="7" t="inlineStr">
        <is>
          <t>k</t>
        </is>
      </c>
      <c r="C79" s="7" t="inlineStr">
        <is>
          <t>Damping / friction factor</t>
        </is>
      </c>
      <c r="D79" s="7" t="n">
        <v>0.35</v>
      </c>
      <c r="E79" s="7" t="inlineStr"/>
    </row>
    <row r="80">
      <c r="A80" s="8" t="inlineStr">
        <is>
          <t>vibscreen</t>
        </is>
      </c>
      <c r="B80" s="8" t="inlineStr">
        <is>
          <t>m</t>
        </is>
      </c>
      <c r="C80" s="8" t="inlineStr">
        <is>
          <t>Vibrating mass</t>
        </is>
      </c>
      <c r="D80" s="8" t="n">
        <v>800</v>
      </c>
      <c r="E80" s="8" t="inlineStr">
        <is>
          <t>kg</t>
        </is>
      </c>
    </row>
    <row r="81">
      <c r="A81" s="7" t="inlineStr">
        <is>
          <t>vibscreen</t>
        </is>
      </c>
      <c r="B81" s="7" t="inlineStr">
        <is>
          <t>A</t>
        </is>
      </c>
      <c r="C81" s="7" t="inlineStr">
        <is>
          <t>Amplitude (single)</t>
        </is>
      </c>
      <c r="D81" s="7" t="n">
        <v>5</v>
      </c>
      <c r="E81" s="7" t="inlineStr">
        <is>
          <t>mm</t>
        </is>
      </c>
    </row>
    <row r="82">
      <c r="A82" s="8" t="inlineStr">
        <is>
          <t>vibscreen</t>
        </is>
      </c>
      <c r="B82" s="8" t="inlineStr">
        <is>
          <t>n</t>
        </is>
      </c>
      <c r="C82" s="8" t="inlineStr">
        <is>
          <t>Exciter speed</t>
        </is>
      </c>
      <c r="D82" s="8" t="n">
        <v>900</v>
      </c>
      <c r="E82" s="8" t="inlineStr">
        <is>
          <t>rpm</t>
        </is>
      </c>
    </row>
    <row r="83">
      <c r="A83" s="7" t="inlineStr">
        <is>
          <t>vibscreen</t>
        </is>
      </c>
      <c r="B83" s="7" t="inlineStr">
        <is>
          <t>k</t>
        </is>
      </c>
      <c r="C83" s="7" t="inlineStr">
        <is>
          <t>Power factor</t>
        </is>
      </c>
      <c r="D83" s="7" t="n">
        <v>0.5</v>
      </c>
      <c r="E83" s="7" t="inlineStr"/>
    </row>
    <row r="84">
      <c r="A84" s="8" t="inlineStr">
        <is>
          <t>rotable</t>
        </is>
      </c>
      <c r="B84" s="8" t="inlineStr">
        <is>
          <t>m</t>
        </is>
      </c>
      <c r="C84" s="8" t="inlineStr">
        <is>
          <t>Table + load mass</t>
        </is>
      </c>
      <c r="D84" s="8" t="n">
        <v>2000</v>
      </c>
      <c r="E84" s="8" t="inlineStr">
        <is>
          <t>kg</t>
        </is>
      </c>
    </row>
    <row r="85">
      <c r="A85" s="7" t="inlineStr">
        <is>
          <t>rotable</t>
        </is>
      </c>
      <c r="B85" s="7" t="inlineStr">
        <is>
          <t>r</t>
        </is>
      </c>
      <c r="C85" s="7" t="inlineStr">
        <is>
          <t>Table radius</t>
        </is>
      </c>
      <c r="D85" s="7" t="n">
        <v>800</v>
      </c>
      <c r="E85" s="7" t="inlineStr">
        <is>
          <t>mm</t>
        </is>
      </c>
    </row>
    <row r="86">
      <c r="A86" s="8" t="inlineStr">
        <is>
          <t>rotable</t>
        </is>
      </c>
      <c r="B86" s="8" t="inlineStr">
        <is>
          <t>n</t>
        </is>
      </c>
      <c r="C86" s="8" t="inlineStr">
        <is>
          <t>Operating speed</t>
        </is>
      </c>
      <c r="D86" s="8" t="n">
        <v>5</v>
      </c>
      <c r="E86" s="8" t="inlineStr">
        <is>
          <t>rpm</t>
        </is>
      </c>
    </row>
    <row r="87">
      <c r="A87" s="7" t="inlineStr">
        <is>
          <t>rotable</t>
        </is>
      </c>
      <c r="B87" s="7" t="inlineStr">
        <is>
          <t>t</t>
        </is>
      </c>
      <c r="C87" s="7" t="inlineStr">
        <is>
          <t>Accel / index time</t>
        </is>
      </c>
      <c r="D87" s="7" t="n">
        <v>3</v>
      </c>
      <c r="E87" s="7" t="inlineStr">
        <is>
          <t>s</t>
        </is>
      </c>
    </row>
    <row r="88">
      <c r="A88" s="8" t="inlineStr">
        <is>
          <t>rotable</t>
        </is>
      </c>
      <c r="B88" s="8" t="inlineStr">
        <is>
          <t>Tf</t>
        </is>
      </c>
      <c r="C88" s="8" t="inlineStr">
        <is>
          <t>Friction torque</t>
        </is>
      </c>
      <c r="D88" s="8" t="n">
        <v>200</v>
      </c>
      <c r="E88" s="8" t="inlineStr">
        <is>
          <t>N·m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64" customWidth="1" min="3" max="3"/>
  </cols>
  <sheetData>
    <row r="1" ht="30" customHeight="1">
      <c r="A1" s="1" t="inlineStr">
        <is>
          <t>Constants, service-factor logic &amp; standard motor sizes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Explanation</t>
        </is>
      </c>
    </row>
    <row r="3">
      <c r="A3" s="3" t="inlineStr">
        <is>
          <t>g (gravity)</t>
        </is>
      </c>
      <c r="B3" s="3" t="inlineStr">
        <is>
          <t>9.81 m/s²</t>
        </is>
      </c>
      <c r="C3" s="3" t="inlineStr">
        <is>
          <t>Used in belt, drag, escalator, hoist, kiln, slew, lift, travel.</t>
        </is>
      </c>
    </row>
    <row r="4">
      <c r="A4" s="3" t="inlineStr">
        <is>
          <t>Torque constant</t>
        </is>
      </c>
      <c r="B4" s="3" t="inlineStr">
        <is>
          <t>9550</t>
        </is>
      </c>
      <c r="C4" s="3" t="inlineStr">
        <is>
          <t>T₂[N·m] = 9550·P[kW]/n[rpm]  (= 60000/2π).</t>
        </is>
      </c>
    </row>
    <row r="5">
      <c r="A5" s="3" t="inlineStr">
        <is>
          <t>Conveyor constant</t>
        </is>
      </c>
      <c r="B5" s="3" t="inlineStr">
        <is>
          <t>367</t>
        </is>
      </c>
      <c r="C5" s="3">
        <f> 3600·g/9.81 ≈ 367; used in screw, elevator, pump (m³/h &amp; m).</f>
        <v/>
      </c>
    </row>
    <row r="6">
      <c r="A6" s="3" t="inlineStr">
        <is>
          <t>lb·ft conversion</t>
        </is>
      </c>
      <c r="B6" s="3" t="inlineStr">
        <is>
          <t>× 0.73756</t>
        </is>
      </c>
      <c r="C6" s="3" t="inlineStr">
        <is>
          <t>N·m → lb·ft for the alternate readout.</t>
        </is>
      </c>
    </row>
    <row r="7">
      <c r="A7" s="3" t="inlineStr"/>
      <c r="B7" s="3" t="inlineStr"/>
      <c r="C7" s="3" t="inlineStr"/>
    </row>
    <row r="8">
      <c r="A8" s="4" t="inlineStr">
        <is>
          <t>SERVICE FACTOR (SF)</t>
        </is>
      </c>
      <c r="B8" s="4" t="inlineStr"/>
      <c r="C8" s="4" t="inlineStr">
        <is>
          <t>SF = base_SF(duty) + load_adjustment, floored at 1.00.</t>
        </is>
      </c>
    </row>
    <row r="9">
      <c r="A9" s="3" t="inlineStr">
        <is>
          <t>Duty: ≤3 h/day</t>
        </is>
      </c>
      <c r="B9" s="3" t="inlineStr">
        <is>
          <t>column 'SF ≤3 h/day'</t>
        </is>
      </c>
      <c r="C9" s="3" t="inlineStr">
        <is>
          <t>Light daily operating time.</t>
        </is>
      </c>
    </row>
    <row r="10">
      <c r="A10" s="3" t="inlineStr">
        <is>
          <t>Duty: 3–10 h/day</t>
        </is>
      </c>
      <c r="B10" s="3" t="inlineStr">
        <is>
          <t>column 'SF 3–10 h/day'</t>
        </is>
      </c>
      <c r="C10" s="3" t="inlineStr">
        <is>
          <t>Medium (default).</t>
        </is>
      </c>
    </row>
    <row r="11">
      <c r="A11" s="3" t="inlineStr">
        <is>
          <t>Duty: &gt;10 h/day</t>
        </is>
      </c>
      <c r="B11" s="3" t="inlineStr">
        <is>
          <t>column 'SF &gt;10 h/day'</t>
        </is>
      </c>
      <c r="C11" s="3" t="inlineStr">
        <is>
          <t>Continuous / heavy.</t>
        </is>
      </c>
    </row>
    <row r="12">
      <c r="A12" s="3" t="inlineStr">
        <is>
          <t>Load: Uniform</t>
        </is>
      </c>
      <c r="B12" s="3" t="inlineStr">
        <is>
          <t>−0.10</t>
        </is>
      </c>
      <c r="C12" s="3" t="inlineStr">
        <is>
          <t>Smooth, steady load.</t>
        </is>
      </c>
    </row>
    <row r="13">
      <c r="A13" s="3" t="inlineStr">
        <is>
          <t>Load: Moderate shock</t>
        </is>
      </c>
      <c r="B13" s="3" t="inlineStr">
        <is>
          <t>0.00</t>
        </is>
      </c>
      <c r="C13" s="3" t="inlineStr">
        <is>
          <t>Default.</t>
        </is>
      </c>
    </row>
    <row r="14">
      <c r="A14" s="3" t="inlineStr">
        <is>
          <t>Load: Heavy shock</t>
        </is>
      </c>
      <c r="B14" s="3" t="inlineStr">
        <is>
          <t>+0.20</t>
        </is>
      </c>
      <c r="C14" s="3" t="inlineStr">
        <is>
          <t>Impact / reversing / shock load.</t>
        </is>
      </c>
    </row>
    <row r="15">
      <c r="A15" s="3" t="inlineStr">
        <is>
          <t>SF ≥ 2.0 note</t>
        </is>
      </c>
      <c r="B15" s="3" t="inlineStr">
        <is>
          <t>warning</t>
        </is>
      </c>
      <c r="C15" s="3" t="inlineStr">
        <is>
          <t>Suggests a larger frame may be more economical than a heavily de-rated unit.</t>
        </is>
      </c>
    </row>
    <row r="16">
      <c r="A16" s="3" t="inlineStr"/>
      <c r="B16" s="3" t="inlineStr"/>
      <c r="C16" s="3" t="inlineStr"/>
    </row>
    <row r="17">
      <c r="A17" s="4" t="inlineStr">
        <is>
          <t>REQUIRED NOMINAL TORQUE</t>
        </is>
      </c>
      <c r="B17" s="4" t="inlineStr">
        <is>
          <t>Tn = T₂ × SF</t>
        </is>
      </c>
      <c r="C17" s="4" t="inlineStr">
        <is>
          <t>Select an I-MAK unit whose catalogue nominal torque ≥ Tn.</t>
        </is>
      </c>
    </row>
    <row r="18">
      <c r="A18" s="3" t="inlineStr">
        <is>
          <t>Motor sizing</t>
        </is>
      </c>
      <c r="B18" s="3" t="inlineStr">
        <is>
          <t>P_motor = P_out / η</t>
        </is>
      </c>
      <c r="C18" s="3" t="inlineStr">
        <is>
          <t>Rounded UP to next IEC standard size.</t>
        </is>
      </c>
    </row>
    <row r="19">
      <c r="A19" s="3" t="inlineStr">
        <is>
          <t>IEC standard motor kW</t>
        </is>
      </c>
      <c r="B19" s="3" t="inlineStr">
        <is>
          <t>0.12 · 0.18 · 0.25 · 0.37 · 0.55 · 0.75 · 1.1 · 1.5 · 2.2 · 3 · 4 · 5.5 · 7.5 · 11 · 15 · 18.5 · 22 · 30 · 37 · 45 · 55 · 75 · 90 · 110 · 132 · 160 · 200 · 250 · 315 · 355</t>
        </is>
      </c>
      <c r="C19" s="3" t="inlineStr">
        <is>
          <t>Recommended motor is the first size ≥ required drive power.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How to use &amp; edit this workbook</t>
        </is>
      </c>
    </row>
    <row r="2">
      <c r="A2" s="9" t="inlineStr">
        <is>
          <t>This workbook documents every sizing formula built into the I-MAK Gearbox Selector app</t>
        </is>
      </c>
    </row>
    <row r="3">
      <c r="A3" s="9" t="inlineStr">
        <is>
          <t>(phone and Windows versions). Each application is mapped to one 'Formula key'.</t>
        </is>
      </c>
    </row>
    <row r="4">
      <c r="A4" s="9" t="inlineStr"/>
    </row>
    <row r="5">
      <c r="A5" s="10" t="inlineStr">
        <is>
          <t>Sheets:</t>
        </is>
      </c>
    </row>
    <row r="6">
      <c r="A6" s="9" t="inlineStr">
        <is>
          <t xml:space="preserve">  • Applications — every selectable application, its service factors, drive efficiency,</t>
        </is>
      </c>
    </row>
    <row r="7">
      <c r="A7" s="9" t="inlineStr">
        <is>
          <t xml:space="preserve">    the assigned output-power/torque formula, suggested gearbox type and I-MAK product.</t>
        </is>
      </c>
    </row>
    <row r="8">
      <c r="A8" s="9" t="inlineStr">
        <is>
          <t xml:space="preserve">  • Formula library — the 17 calculators, their equations, variables and the engineering method.</t>
        </is>
      </c>
    </row>
    <row r="9">
      <c r="A9" s="9" t="inlineStr">
        <is>
          <t xml:space="preserve">  • Variables &amp; defaults — every input field and its default value (edit these to re-tune the app).</t>
        </is>
      </c>
    </row>
    <row r="10">
      <c r="A10" s="9" t="inlineStr">
        <is>
          <t xml:space="preserve">  • Constants &amp; SF logic — g, 9550, 367, the service-factor rule and IEC motor sizes.</t>
        </is>
      </c>
    </row>
    <row r="11">
      <c r="A11" s="9" t="inlineStr"/>
    </row>
    <row r="12">
      <c r="A12" s="10" t="inlineStr">
        <is>
          <t>How the app computes a selection:</t>
        </is>
      </c>
    </row>
    <row r="13">
      <c r="A13" s="9" t="inlineStr">
        <is>
          <t xml:space="preserve">  1. Process data → the formula returns output power P_out (kW) or output torque T₂ (N·m) and speed n₂.</t>
        </is>
      </c>
    </row>
    <row r="14">
      <c r="A14" s="9" t="inlineStr">
        <is>
          <t xml:space="preserve">  2. If P_out is known: T₂ = 9550 · P_out / n₂.   If T₂ is known: P_out = T₂ · n₂ / 9550.</t>
        </is>
      </c>
    </row>
    <row r="15">
      <c r="A15" s="9" t="inlineStr">
        <is>
          <t xml:space="preserve">  3. Service factor SF = base(duty) + load-adjustment (floored at 1.00).</t>
        </is>
      </c>
    </row>
    <row r="16">
      <c r="A16" s="9" t="inlineStr">
        <is>
          <t xml:space="preserve">  4. Required nominal torque  Tn = T₂ × SF  → choose an I-MAK unit with catalogue Tn ≥ this.</t>
        </is>
      </c>
    </row>
    <row r="17">
      <c r="A17" s="9" t="inlineStr">
        <is>
          <t xml:space="preserve">  5. Motor = P_out / η, rounded up to the next IEC standard kW.</t>
        </is>
      </c>
    </row>
    <row r="18">
      <c r="A18" s="9" t="inlineStr"/>
    </row>
    <row r="19">
      <c r="A19" s="9" t="inlineStr">
        <is>
          <t>To change a formula: tell me the application and the new equation/defaults, or edit the</t>
        </is>
      </c>
    </row>
    <row r="20">
      <c r="A20" s="9" t="inlineStr">
        <is>
          <t>'Variables &amp; defaults' sheet and send it back — I will regenerate both app versions to match.</t>
        </is>
      </c>
    </row>
    <row r="21">
      <c r="A21" s="9" t="inlineStr"/>
    </row>
    <row r="22">
      <c r="A22" s="10" t="inlineStr">
        <is>
          <t>IMPORTANT: Process-mode results are field ESTIMATES. Always confirm the final choice against</t>
        </is>
      </c>
    </row>
    <row r="23">
      <c r="A23" s="9" t="inlineStr">
        <is>
          <t>the I-MAK catalogue (nominal torque, ratio, overhung-load &amp; thermal rating). Cranes, hoists and</t>
        </is>
      </c>
    </row>
    <row r="24">
      <c r="A24" s="9" t="inlineStr">
        <is>
          <t>lifts additionally require FEM/ISO duty-class and braking review.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2026-07-06T07:12:00Z</dcterms:created>
  <dcterms:modified xsi:type="dcterms:W3CDTF">2026-07-06T07:12:00Z</dcterms:modified>
</cp:coreProperties>
</file>