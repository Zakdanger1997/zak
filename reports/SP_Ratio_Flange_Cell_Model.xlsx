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Ratio cells" sheetId="2" state="visible" r:id="rId2"/>
    <sheet name="PAM-flange cells" sheetId="3" state="visible" r:id="rId3"/>
    <sheet name="Reorder proposal" sheetId="4" state="visible" r:id="rId4"/>
  </sheets>
  <definedNames>
    <definedName name="_xlnm._FilterDatabase" localSheetId="1" hidden="1">'Ratio cells'!$A$1:$N$85</definedName>
    <definedName name="_xlnm._FilterDatabase" localSheetId="2" hidden="1">'PAM-flange cells'!$A$1:$K$42</definedName>
    <definedName name="_xlnm._FilterDatabase" localSheetId="3" hidden="1">'Reorder proposal'!$A$1:$H$59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$#,##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</font>
  </fonts>
  <fills count="8">
    <fill>
      <patternFill/>
    </fill>
    <fill>
      <patternFill patternType="gray125"/>
    </fill>
    <fill>
      <patternFill patternType="solid">
        <fgColor rgb="000D366B"/>
      </patternFill>
    </fill>
    <fill>
      <patternFill patternType="solid">
        <fgColor rgb="00D9EFD9"/>
      </patternFill>
    </fill>
    <fill>
      <patternFill patternType="solid">
        <fgColor rgb="00EEEEEA"/>
      </patternFill>
    </fill>
    <fill>
      <patternFill patternType="solid">
        <fgColor rgb="00FBE3D6"/>
      </patternFill>
    </fill>
    <fill>
      <patternFill patternType="solid">
        <fgColor rgb="00F8D3D3"/>
      </patternFill>
    </fill>
    <fill>
      <patternFill patternType="solid">
        <fgColor rgb="00FDEEC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4" fillId="0" borderId="1" pivotButton="0" quotePrefix="0" xfId="0"/>
    <xf numFmtId="0" fontId="6" fillId="0" borderId="1" pivotButton="0" quotePrefix="0" xfId="0"/>
    <xf numFmtId="0" fontId="5" fillId="2" borderId="0" applyAlignment="1" pivotButton="0" quotePrefix="0" xfId="0">
      <alignment vertical="center" wrapText="1"/>
    </xf>
    <xf numFmtId="164" fontId="4" fillId="0" borderId="1" pivotButton="0" quotePrefix="0" xfId="0"/>
    <xf numFmtId="165" fontId="4" fillId="0" borderId="1" pivotButton="0" quotePrefix="0" xfId="0"/>
    <xf numFmtId="0" fontId="4" fillId="3" borderId="1" pivotButton="0" quotePrefix="0" xfId="0"/>
    <xf numFmtId="166" fontId="4" fillId="0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7" fillId="0" borderId="0" pivotButton="0" quotePrefix="0" xfId="0"/>
    <xf numFmtId="3" fontId="7" fillId="0" borderId="0" pivotButton="0" quotePrefix="0" xfId="0"/>
    <xf numFmtId="166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4" customWidth="1" min="1" max="1"/>
    <col width="60" customWidth="1" min="2" max="2"/>
  </cols>
  <sheetData>
    <row r="1">
      <c r="A1" s="1" t="inlineStr">
        <is>
          <t>SP Gearbox — ratio &amp; flange cell model</t>
        </is>
      </c>
    </row>
    <row r="2">
      <c r="A2" s="2" t="inlineStr">
        <is>
          <t>Blue cells are editable inputs (monthly rate per size). Example row: see any data sheet.</t>
        </is>
      </c>
    </row>
    <row r="3">
      <c r="A3" s="3" t="inlineStr">
        <is>
          <t>Sales period assumed</t>
        </is>
      </c>
      <c r="B3" s="4" t="inlineStr">
        <is>
          <t>Jan 1 – Jul 30, 2026 = 7.0 months (sales file has no dates)</t>
        </is>
      </c>
    </row>
    <row r="4">
      <c r="A4" s="3" t="inlineStr">
        <is>
          <t>Demand share per cell</t>
        </is>
      </c>
      <c r="B4" s="4" t="inlineStr">
        <is>
          <t>geometric mean of (quantity share) and (order-frequency share) across the 12 factory order batches, normalized within each size</t>
        </is>
      </c>
    </row>
    <row r="5">
      <c r="A5" s="3" t="inlineStr">
        <is>
          <t>Cover (months)</t>
        </is>
      </c>
      <c r="B5" s="4" t="inlineStr">
        <is>
          <t>inbound pipeline qty ÷ estimated monthly need; warehouse stock NOT included</t>
        </is>
      </c>
    </row>
    <row r="6">
      <c r="A6" s="3" t="inlineStr">
        <is>
          <t>Suggested order</t>
        </is>
      </c>
      <c r="B6" s="4" t="inlineStr">
        <is>
          <t>rounds (12 × est. monthly need − inbound) up to 5s, only where cover &lt; 12 months and cell is not a one-off</t>
        </is>
      </c>
    </row>
    <row r="7">
      <c r="A7" s="3" t="inlineStr">
        <is>
          <t>Verdicts</t>
        </is>
      </c>
      <c r="B7" s="4" t="inlineStr">
        <is>
          <t>MISSING &lt;5 mo · Tight 5–8 · Balanced 8–15 · Heavy &gt;15 · One-off = single batch, small share</t>
        </is>
      </c>
    </row>
    <row r="8">
      <c r="A8" s="3" t="inlineStr">
        <is>
          <t>Prices</t>
        </is>
      </c>
      <c r="B8" s="4" t="inlineStr">
        <is>
          <t>USD FOB Shanghai from supplier invoices</t>
        </is>
      </c>
    </row>
    <row r="10">
      <c r="A10" s="5" t="inlineStr">
        <is>
          <t>Size</t>
        </is>
      </c>
      <c r="B10" s="5" t="inlineStr">
        <is>
          <t>Sold YTD (units)</t>
        </is>
      </c>
      <c r="C10" s="5" t="inlineStr">
        <is>
          <t>Months</t>
        </is>
      </c>
      <c r="D10" s="5" t="inlineStr">
        <is>
          <t>Rate /mo</t>
        </is>
      </c>
      <c r="E10" s="5" t="inlineStr">
        <is>
          <t>FOB unit $</t>
        </is>
      </c>
    </row>
    <row r="11">
      <c r="A11" s="6" t="inlineStr">
        <is>
          <t>SP 30</t>
        </is>
      </c>
      <c r="B11" s="7" t="n">
        <v>888</v>
      </c>
      <c r="C11" s="7" t="n">
        <v>7</v>
      </c>
      <c r="D11" s="6">
        <f>B11/C11</f>
        <v/>
      </c>
      <c r="E11" s="7" t="n">
        <v>14.9</v>
      </c>
    </row>
    <row r="12">
      <c r="A12" s="6" t="inlineStr">
        <is>
          <t>SP 40</t>
        </is>
      </c>
      <c r="B12" s="7" t="n">
        <v>2239</v>
      </c>
      <c r="C12" s="7" t="n">
        <v>7</v>
      </c>
      <c r="D12" s="6">
        <f>B12/C12</f>
        <v/>
      </c>
      <c r="E12" s="7" t="n">
        <v>17.3</v>
      </c>
    </row>
    <row r="13">
      <c r="A13" s="6" t="inlineStr">
        <is>
          <t>SP 50</t>
        </is>
      </c>
      <c r="B13" s="7" t="n">
        <v>2488</v>
      </c>
      <c r="C13" s="7" t="n">
        <v>7</v>
      </c>
      <c r="D13" s="6">
        <f>B13/C13</f>
        <v/>
      </c>
      <c r="E13" s="7" t="n">
        <v>26</v>
      </c>
    </row>
    <row r="14">
      <c r="A14" s="6" t="inlineStr">
        <is>
          <t>SP 63</t>
        </is>
      </c>
      <c r="B14" s="7" t="n">
        <v>1902</v>
      </c>
      <c r="C14" s="7" t="n">
        <v>7</v>
      </c>
      <c r="D14" s="6">
        <f>B14/C14</f>
        <v/>
      </c>
      <c r="E14" s="7" t="n">
        <v>35.5</v>
      </c>
    </row>
    <row r="15">
      <c r="A15" s="6" t="inlineStr">
        <is>
          <t>SP 75</t>
        </is>
      </c>
      <c r="B15" s="7" t="n">
        <v>666</v>
      </c>
      <c r="C15" s="7" t="n">
        <v>7</v>
      </c>
      <c r="D15" s="6">
        <f>B15/C15</f>
        <v/>
      </c>
      <c r="E15" s="7" t="n">
        <v>52</v>
      </c>
    </row>
    <row r="16">
      <c r="A16" s="6" t="inlineStr">
        <is>
          <t>SP 90</t>
        </is>
      </c>
      <c r="B16" s="7" t="n">
        <v>490</v>
      </c>
      <c r="C16" s="7" t="n">
        <v>7</v>
      </c>
      <c r="D16" s="6">
        <f>B16/C16</f>
        <v/>
      </c>
      <c r="E16" s="7" t="n">
        <v>71</v>
      </c>
    </row>
    <row r="17">
      <c r="A17" s="6" t="inlineStr">
        <is>
          <t>SP 110</t>
        </is>
      </c>
      <c r="B17" s="7" t="n">
        <v>332</v>
      </c>
      <c r="C17" s="7" t="n">
        <v>7</v>
      </c>
      <c r="D17" s="6">
        <f>B17/C17</f>
        <v/>
      </c>
      <c r="E17" s="7" t="n">
        <v>115</v>
      </c>
    </row>
    <row r="18">
      <c r="A18" s="6" t="inlineStr">
        <is>
          <t>SP 130</t>
        </is>
      </c>
      <c r="B18" s="7" t="n">
        <v>302</v>
      </c>
      <c r="C18" s="7" t="n">
        <v>7</v>
      </c>
      <c r="D18" s="6">
        <f>B18/C18</f>
        <v/>
      </c>
      <c r="E18" s="7" t="n">
        <v>151</v>
      </c>
    </row>
    <row r="19">
      <c r="A19" s="6" t="inlineStr">
        <is>
          <t>SP 150</t>
        </is>
      </c>
      <c r="B19" s="7" t="n">
        <v>15</v>
      </c>
      <c r="C19" s="7" t="n">
        <v>7</v>
      </c>
      <c r="D19" s="6">
        <f>B19/C19</f>
        <v/>
      </c>
      <c r="E19" s="7" t="n">
        <v>255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10" customWidth="1" min="3" max="3"/>
    <col width="9" customWidth="1" min="4" max="4"/>
    <col width="12" customWidth="1" min="5" max="5"/>
    <col width="14" customWidth="1" min="6" max="6"/>
    <col width="10" customWidth="1" min="7" max="7"/>
    <col width="10" customWidth="1" min="8" max="8"/>
    <col width="13" customWidth="1" min="9" max="9"/>
    <col width="11" customWidth="1" min="10" max="10"/>
    <col width="12" customWidth="1" min="11" max="11"/>
    <col width="11" customWidth="1" min="12" max="12"/>
    <col width="13" customWidth="1" min="13" max="13"/>
    <col width="12" customWidth="1" min="14" max="14"/>
  </cols>
  <sheetData>
    <row r="1">
      <c r="A1" s="8" t="inlineStr">
        <is>
          <t>Size</t>
        </is>
      </c>
      <c r="B1" s="8" t="inlineStr">
        <is>
          <t>Ratio (i)</t>
        </is>
      </c>
      <c r="C1" s="8" t="inlineStr">
        <is>
          <t>In transit</t>
        </is>
      </c>
      <c r="D1" s="8" t="inlineStr">
        <is>
          <t>In mfg</t>
        </is>
      </c>
      <c r="E1" s="8" t="inlineStr">
        <is>
          <t>Total inbound</t>
        </is>
      </c>
      <c r="F1" s="8" t="inlineStr">
        <is>
          <t>Batches ordered</t>
        </is>
      </c>
      <c r="G1" s="8" t="inlineStr">
        <is>
          <t>First order</t>
        </is>
      </c>
      <c r="H1" s="8" t="inlineStr">
        <is>
          <t>Last order</t>
        </is>
      </c>
      <c r="I1" s="8" t="inlineStr">
        <is>
          <t>Est. share of size</t>
        </is>
      </c>
      <c r="J1" s="8" t="inlineStr">
        <is>
          <t>Est. need /mo</t>
        </is>
      </c>
      <c r="K1" s="8" t="inlineStr">
        <is>
          <t>Cover (months)</t>
        </is>
      </c>
      <c r="L1" s="8" t="inlineStr">
        <is>
          <t>Verdict</t>
        </is>
      </c>
      <c r="M1" s="8" t="inlineStr">
        <is>
          <t>Suggested order</t>
        </is>
      </c>
      <c r="N1" s="8" t="inlineStr">
        <is>
          <t>Order value $</t>
        </is>
      </c>
    </row>
    <row r="2">
      <c r="A2" s="6" t="inlineStr">
        <is>
          <t>SP 30</t>
        </is>
      </c>
      <c r="B2" s="6" t="n">
        <v>5</v>
      </c>
      <c r="C2" s="6" t="n">
        <v>105</v>
      </c>
      <c r="D2" s="6" t="n">
        <v>0</v>
      </c>
      <c r="E2" s="6">
        <f>C2+D2</f>
        <v/>
      </c>
      <c r="F2" s="6" t="n">
        <v>2</v>
      </c>
      <c r="G2" s="6" t="inlineStr">
        <is>
          <t>Mar 02</t>
        </is>
      </c>
      <c r="H2" s="6" t="inlineStr">
        <is>
          <t>Mar 23</t>
        </is>
      </c>
      <c r="I2" s="9" t="n">
        <v>0.0794220631467011</v>
      </c>
      <c r="J2" s="10">
        <f>Assumptions!$D$11*I2</f>
        <v/>
      </c>
      <c r="K2" s="10">
        <f>IF(J2&gt;0,E2/J2,999)</f>
        <v/>
      </c>
      <c r="L2" s="11" t="inlineStr">
        <is>
          <t>Balanced</t>
        </is>
      </c>
      <c r="M2" s="6" t="n">
        <v>20</v>
      </c>
      <c r="N2" s="12">
        <f>M2*Assumptions!$E$11</f>
        <v/>
      </c>
    </row>
    <row r="3">
      <c r="A3" s="6" t="inlineStr">
        <is>
          <t>SP 30</t>
        </is>
      </c>
      <c r="B3" s="6" t="n">
        <v>7.5</v>
      </c>
      <c r="C3" s="6" t="n">
        <v>75</v>
      </c>
      <c r="D3" s="6" t="n">
        <v>50</v>
      </c>
      <c r="E3" s="6">
        <f>C3+D3</f>
        <v/>
      </c>
      <c r="F3" s="6" t="n">
        <v>3</v>
      </c>
      <c r="G3" s="6" t="inlineStr">
        <is>
          <t>Mar 23</t>
        </is>
      </c>
      <c r="H3" s="6" t="inlineStr">
        <is>
          <t>Jun 17</t>
        </is>
      </c>
      <c r="I3" s="9" t="n">
        <v>0.1061321961591716</v>
      </c>
      <c r="J3" s="10">
        <f>Assumptions!$D$11*I3</f>
        <v/>
      </c>
      <c r="K3" s="10">
        <f>IF(J3&gt;0,E3/J3,999)</f>
        <v/>
      </c>
      <c r="L3" s="11" t="inlineStr">
        <is>
          <t>Balanced</t>
        </is>
      </c>
      <c r="M3" s="6" t="n">
        <v>40</v>
      </c>
      <c r="N3" s="12">
        <f>M3*Assumptions!$E$11</f>
        <v/>
      </c>
    </row>
    <row r="4">
      <c r="A4" s="6" t="inlineStr">
        <is>
          <t>SP 30</t>
        </is>
      </c>
      <c r="B4" s="6" t="n">
        <v>10</v>
      </c>
      <c r="C4" s="6" t="n">
        <v>110</v>
      </c>
      <c r="D4" s="6" t="n">
        <v>74</v>
      </c>
      <c r="E4" s="6">
        <f>C4+D4</f>
        <v/>
      </c>
      <c r="F4" s="6" t="n">
        <v>4</v>
      </c>
      <c r="G4" s="6" t="inlineStr">
        <is>
          <t>Mar 02</t>
        </is>
      </c>
      <c r="H4" s="6" t="inlineStr">
        <is>
          <t>Jun 17</t>
        </is>
      </c>
      <c r="I4" s="9" t="n">
        <v>0.1486861185478967</v>
      </c>
      <c r="J4" s="10">
        <f>Assumptions!$D$11*I4</f>
        <v/>
      </c>
      <c r="K4" s="10">
        <f>IF(J4&gt;0,E4/J4,999)</f>
        <v/>
      </c>
      <c r="L4" s="11" t="inlineStr">
        <is>
          <t>Balanced</t>
        </is>
      </c>
      <c r="M4" s="6" t="n">
        <v>45</v>
      </c>
      <c r="N4" s="12">
        <f>M4*Assumptions!$E$11</f>
        <v/>
      </c>
    </row>
    <row r="5">
      <c r="A5" s="6" t="inlineStr">
        <is>
          <t>SP 30</t>
        </is>
      </c>
      <c r="B5" s="6" t="n">
        <v>15</v>
      </c>
      <c r="C5" s="6" t="n">
        <v>0</v>
      </c>
      <c r="D5" s="6" t="n">
        <v>20</v>
      </c>
      <c r="E5" s="6">
        <f>C5+D5</f>
        <v/>
      </c>
      <c r="F5" s="6" t="n">
        <v>1</v>
      </c>
      <c r="G5" s="6" t="inlineStr">
        <is>
          <t>Jun 01</t>
        </is>
      </c>
      <c r="H5" s="6" t="inlineStr">
        <is>
          <t>Jun 01</t>
        </is>
      </c>
      <c r="I5" s="9" t="n">
        <v>0.02451018080887356</v>
      </c>
      <c r="J5" s="10">
        <f>Assumptions!$D$11*I5</f>
        <v/>
      </c>
      <c r="K5" s="10">
        <f>IF(J5&gt;0,E5/J5,999)</f>
        <v/>
      </c>
      <c r="L5" s="13" t="inlineStr">
        <is>
          <t>One-off</t>
        </is>
      </c>
      <c r="M5" s="6" t="n">
        <v>0</v>
      </c>
      <c r="N5" s="12">
        <f>M5*Assumptions!$E$11</f>
        <v/>
      </c>
    </row>
    <row r="6">
      <c r="A6" s="6" t="inlineStr">
        <is>
          <t>SP 30</t>
        </is>
      </c>
      <c r="B6" s="6" t="n">
        <v>20</v>
      </c>
      <c r="C6" s="6" t="n">
        <v>70</v>
      </c>
      <c r="D6" s="6" t="n">
        <v>46</v>
      </c>
      <c r="E6" s="6">
        <f>C6+D6</f>
        <v/>
      </c>
      <c r="F6" s="6" t="n">
        <v>5</v>
      </c>
      <c r="G6" s="6" t="inlineStr">
        <is>
          <t>Jan 07</t>
        </is>
      </c>
      <c r="H6" s="6" t="inlineStr">
        <is>
          <t>Jun 17</t>
        </is>
      </c>
      <c r="I6" s="9" t="n">
        <v>0.1319913631084494</v>
      </c>
      <c r="J6" s="10">
        <f>Assumptions!$D$11*I6</f>
        <v/>
      </c>
      <c r="K6" s="10">
        <f>IF(J6&gt;0,E6/J6,999)</f>
        <v/>
      </c>
      <c r="L6" s="14" t="inlineStr">
        <is>
          <t>Tight</t>
        </is>
      </c>
      <c r="M6" s="6" t="n">
        <v>85</v>
      </c>
      <c r="N6" s="12">
        <f>M6*Assumptions!$E$11</f>
        <v/>
      </c>
    </row>
    <row r="7">
      <c r="A7" s="6" t="inlineStr">
        <is>
          <t>SP 30</t>
        </is>
      </c>
      <c r="B7" s="6" t="n">
        <v>25</v>
      </c>
      <c r="C7" s="6" t="n">
        <v>0</v>
      </c>
      <c r="D7" s="6" t="n">
        <v>30</v>
      </c>
      <c r="E7" s="6">
        <f>C7+D7</f>
        <v/>
      </c>
      <c r="F7" s="6" t="n">
        <v>1</v>
      </c>
      <c r="G7" s="6" t="inlineStr">
        <is>
          <t>Jun 01</t>
        </is>
      </c>
      <c r="H7" s="6" t="inlineStr">
        <is>
          <t>Jun 01</t>
        </is>
      </c>
      <c r="I7" s="9" t="n">
        <v>0.03001871824254845</v>
      </c>
      <c r="J7" s="10">
        <f>Assumptions!$D$11*I7</f>
        <v/>
      </c>
      <c r="K7" s="10">
        <f>IF(J7&gt;0,E7/J7,999)</f>
        <v/>
      </c>
      <c r="L7" s="13" t="inlineStr">
        <is>
          <t>One-off</t>
        </is>
      </c>
      <c r="M7" s="6" t="n">
        <v>0</v>
      </c>
      <c r="N7" s="12">
        <f>M7*Assumptions!$E$11</f>
        <v/>
      </c>
    </row>
    <row r="8">
      <c r="A8" s="6" t="inlineStr">
        <is>
          <t>SP 30</t>
        </is>
      </c>
      <c r="B8" s="6" t="n">
        <v>30</v>
      </c>
      <c r="C8" s="6" t="n">
        <v>105</v>
      </c>
      <c r="D8" s="6" t="n">
        <v>21</v>
      </c>
      <c r="E8" s="6">
        <f>C8+D8</f>
        <v/>
      </c>
      <c r="F8" s="6" t="n">
        <v>4</v>
      </c>
      <c r="G8" s="6" t="inlineStr">
        <is>
          <t>Mar 02</t>
        </is>
      </c>
      <c r="H8" s="6" t="inlineStr">
        <is>
          <t>Jun 17</t>
        </is>
      </c>
      <c r="I8" s="9" t="n">
        <v>0.1230401311554429</v>
      </c>
      <c r="J8" s="10">
        <f>Assumptions!$D$11*I8</f>
        <v/>
      </c>
      <c r="K8" s="10">
        <f>IF(J8&gt;0,E8/J8,999)</f>
        <v/>
      </c>
      <c r="L8" s="11" t="inlineStr">
        <is>
          <t>Balanced</t>
        </is>
      </c>
      <c r="M8" s="6" t="n">
        <v>65</v>
      </c>
      <c r="N8" s="12">
        <f>M8*Assumptions!$E$11</f>
        <v/>
      </c>
    </row>
    <row r="9">
      <c r="A9" s="6" t="inlineStr">
        <is>
          <t>SP 30</t>
        </is>
      </c>
      <c r="B9" s="6" t="n">
        <v>40</v>
      </c>
      <c r="C9" s="6" t="n">
        <v>0</v>
      </c>
      <c r="D9" s="6" t="n">
        <v>6</v>
      </c>
      <c r="E9" s="6">
        <f>C9+D9</f>
        <v/>
      </c>
      <c r="F9" s="6" t="n">
        <v>1</v>
      </c>
      <c r="G9" s="6" t="inlineStr">
        <is>
          <t>Jun 17</t>
        </is>
      </c>
      <c r="H9" s="6" t="inlineStr">
        <is>
          <t>Jun 17</t>
        </is>
      </c>
      <c r="I9" s="9" t="n">
        <v>0.01342477891755027</v>
      </c>
      <c r="J9" s="10">
        <f>Assumptions!$D$11*I9</f>
        <v/>
      </c>
      <c r="K9" s="10">
        <f>IF(J9&gt;0,E9/J9,999)</f>
        <v/>
      </c>
      <c r="L9" s="13" t="inlineStr">
        <is>
          <t>One-off</t>
        </is>
      </c>
      <c r="M9" s="6" t="n">
        <v>0</v>
      </c>
      <c r="N9" s="12">
        <f>M9*Assumptions!$E$11</f>
        <v/>
      </c>
    </row>
    <row r="10">
      <c r="A10" s="6" t="inlineStr">
        <is>
          <t>SP 30</t>
        </is>
      </c>
      <c r="B10" s="6" t="n">
        <v>50</v>
      </c>
      <c r="C10" s="6" t="n">
        <v>0</v>
      </c>
      <c r="D10" s="6" t="n">
        <v>6</v>
      </c>
      <c r="E10" s="6">
        <f>C10+D10</f>
        <v/>
      </c>
      <c r="F10" s="6" t="n">
        <v>1</v>
      </c>
      <c r="G10" s="6" t="inlineStr">
        <is>
          <t>Jun 17</t>
        </is>
      </c>
      <c r="H10" s="6" t="inlineStr">
        <is>
          <t>Jun 17</t>
        </is>
      </c>
      <c r="I10" s="9" t="n">
        <v>0.01342477891755027</v>
      </c>
      <c r="J10" s="10">
        <f>Assumptions!$D$11*I10</f>
        <v/>
      </c>
      <c r="K10" s="10">
        <f>IF(J10&gt;0,E10/J10,999)</f>
        <v/>
      </c>
      <c r="L10" s="13" t="inlineStr">
        <is>
          <t>One-off</t>
        </is>
      </c>
      <c r="M10" s="6" t="n">
        <v>0</v>
      </c>
      <c r="N10" s="12">
        <f>M10*Assumptions!$E$11</f>
        <v/>
      </c>
    </row>
    <row r="11">
      <c r="A11" s="6" t="inlineStr">
        <is>
          <t>SP 30</t>
        </is>
      </c>
      <c r="B11" s="6" t="n">
        <v>60</v>
      </c>
      <c r="C11" s="6" t="n">
        <v>5</v>
      </c>
      <c r="D11" s="6" t="n">
        <v>10</v>
      </c>
      <c r="E11" s="6">
        <f>C11+D11</f>
        <v/>
      </c>
      <c r="F11" s="6" t="n">
        <v>3</v>
      </c>
      <c r="G11" s="6" t="inlineStr">
        <is>
          <t>Mar 02</t>
        </is>
      </c>
      <c r="H11" s="6" t="inlineStr">
        <is>
          <t>Jun 17</t>
        </is>
      </c>
      <c r="I11" s="9" t="n">
        <v>0.03676527121331035</v>
      </c>
      <c r="J11" s="10">
        <f>Assumptions!$D$11*I11</f>
        <v/>
      </c>
      <c r="K11" s="10">
        <f>IF(J11&gt;0,E11/J11,999)</f>
        <v/>
      </c>
      <c r="L11" s="15" t="inlineStr">
        <is>
          <t>MISSING</t>
        </is>
      </c>
      <c r="M11" s="6" t="n">
        <v>45</v>
      </c>
      <c r="N11" s="12">
        <f>M11*Assumptions!$E$11</f>
        <v/>
      </c>
    </row>
    <row r="12">
      <c r="A12" s="6" t="inlineStr">
        <is>
          <t>SP 30</t>
        </is>
      </c>
      <c r="B12" s="6" t="n">
        <v>80</v>
      </c>
      <c r="C12" s="6" t="n">
        <v>85</v>
      </c>
      <c r="D12" s="6" t="n">
        <v>30</v>
      </c>
      <c r="E12" s="6">
        <f>C12+D12</f>
        <v/>
      </c>
      <c r="F12" s="6" t="n">
        <v>4</v>
      </c>
      <c r="G12" s="6" t="inlineStr">
        <is>
          <t>Dec 26+</t>
        </is>
      </c>
      <c r="H12" s="6" t="inlineStr">
        <is>
          <t>May 08</t>
        </is>
      </c>
      <c r="I12" s="9" t="n">
        <v>0.1175466977652903</v>
      </c>
      <c r="J12" s="10">
        <f>Assumptions!$D$11*I12</f>
        <v/>
      </c>
      <c r="K12" s="10">
        <f>IF(J12&gt;0,E12/J12,999)</f>
        <v/>
      </c>
      <c r="L12" s="14" t="inlineStr">
        <is>
          <t>Tight</t>
        </is>
      </c>
      <c r="M12" s="6" t="n">
        <v>65</v>
      </c>
      <c r="N12" s="12">
        <f>M12*Assumptions!$E$11</f>
        <v/>
      </c>
    </row>
    <row r="13">
      <c r="A13" s="6" t="inlineStr">
        <is>
          <t>SP 30</t>
        </is>
      </c>
      <c r="B13" s="6" t="n">
        <v>100</v>
      </c>
      <c r="C13" s="6" t="n">
        <v>55</v>
      </c>
      <c r="D13" s="6" t="n">
        <v>200</v>
      </c>
      <c r="E13" s="6">
        <f>C13+D13</f>
        <v/>
      </c>
      <c r="F13" s="6" t="n">
        <v>4</v>
      </c>
      <c r="G13" s="6" t="inlineStr">
        <is>
          <t>Jan 07</t>
        </is>
      </c>
      <c r="H13" s="6" t="inlineStr">
        <is>
          <t>Jun 01</t>
        </is>
      </c>
      <c r="I13" s="9" t="n">
        <v>0.1750377020172151</v>
      </c>
      <c r="J13" s="10">
        <f>Assumptions!$D$11*I13</f>
        <v/>
      </c>
      <c r="K13" s="10">
        <f>IF(J13&gt;0,E13/J13,999)</f>
        <v/>
      </c>
      <c r="L13" s="11" t="inlineStr">
        <is>
          <t>Balanced</t>
        </is>
      </c>
      <c r="M13" s="6" t="n">
        <v>15</v>
      </c>
      <c r="N13" s="12">
        <f>M13*Assumptions!$E$11</f>
        <v/>
      </c>
    </row>
    <row r="14">
      <c r="A14" s="6" t="inlineStr">
        <is>
          <t>SP 40</t>
        </is>
      </c>
      <c r="B14" s="6" t="n">
        <v>5</v>
      </c>
      <c r="C14" s="6" t="n">
        <v>30</v>
      </c>
      <c r="D14" s="6" t="n">
        <v>12</v>
      </c>
      <c r="E14" s="6">
        <f>C14+D14</f>
        <v/>
      </c>
      <c r="F14" s="6" t="n">
        <v>2</v>
      </c>
      <c r="G14" s="6" t="inlineStr">
        <is>
          <t>Mar 02</t>
        </is>
      </c>
      <c r="H14" s="6" t="inlineStr">
        <is>
          <t>Jun 17</t>
        </is>
      </c>
      <c r="I14" s="9" t="n">
        <v>0.03885345501748037</v>
      </c>
      <c r="J14" s="10">
        <f>Assumptions!$D$12*I14</f>
        <v/>
      </c>
      <c r="K14" s="10">
        <f>IF(J14&gt;0,E14/J14,999)</f>
        <v/>
      </c>
      <c r="L14" s="15" t="inlineStr">
        <is>
          <t>MISSING</t>
        </is>
      </c>
      <c r="M14" s="6" t="n">
        <v>110</v>
      </c>
      <c r="N14" s="12">
        <f>M14*Assumptions!$E$12</f>
        <v/>
      </c>
    </row>
    <row r="15">
      <c r="A15" s="6" t="inlineStr">
        <is>
          <t>SP 40</t>
        </is>
      </c>
      <c r="B15" s="6" t="n">
        <v>7.5</v>
      </c>
      <c r="C15" s="6" t="n">
        <v>65</v>
      </c>
      <c r="D15" s="6" t="n">
        <v>20</v>
      </c>
      <c r="E15" s="6">
        <f>C15+D15</f>
        <v/>
      </c>
      <c r="F15" s="6" t="n">
        <v>3</v>
      </c>
      <c r="G15" s="6" t="inlineStr">
        <is>
          <t>Mar 02</t>
        </is>
      </c>
      <c r="H15" s="6" t="inlineStr">
        <is>
          <t>Jun 17</t>
        </is>
      </c>
      <c r="I15" s="9" t="n">
        <v>0.06769554537401962</v>
      </c>
      <c r="J15" s="10">
        <f>Assumptions!$D$12*I15</f>
        <v/>
      </c>
      <c r="K15" s="10">
        <f>IF(J15&gt;0,E15/J15,999)</f>
        <v/>
      </c>
      <c r="L15" s="15" t="inlineStr">
        <is>
          <t>MISSING</t>
        </is>
      </c>
      <c r="M15" s="6" t="n">
        <v>175</v>
      </c>
      <c r="N15" s="12">
        <f>M15*Assumptions!$E$12</f>
        <v/>
      </c>
    </row>
    <row r="16">
      <c r="A16" s="6" t="inlineStr">
        <is>
          <t>SP 40</t>
        </is>
      </c>
      <c r="B16" s="6" t="n">
        <v>10</v>
      </c>
      <c r="C16" s="6" t="n">
        <v>13</v>
      </c>
      <c r="D16" s="6" t="n">
        <v>36</v>
      </c>
      <c r="E16" s="6">
        <f>C16+D16</f>
        <v/>
      </c>
      <c r="F16" s="6" t="n">
        <v>3</v>
      </c>
      <c r="G16" s="6" t="inlineStr">
        <is>
          <t>Mar 02</t>
        </is>
      </c>
      <c r="H16" s="6" t="inlineStr">
        <is>
          <t>Jun 17</t>
        </is>
      </c>
      <c r="I16" s="9" t="n">
        <v>0.0513982897759439</v>
      </c>
      <c r="J16" s="10">
        <f>Assumptions!$D$12*I16</f>
        <v/>
      </c>
      <c r="K16" s="10">
        <f>IF(J16&gt;0,E16/J16,999)</f>
        <v/>
      </c>
      <c r="L16" s="15" t="inlineStr">
        <is>
          <t>MISSING</t>
        </is>
      </c>
      <c r="M16" s="6" t="n">
        <v>150</v>
      </c>
      <c r="N16" s="12">
        <f>M16*Assumptions!$E$12</f>
        <v/>
      </c>
    </row>
    <row r="17">
      <c r="A17" s="6" t="inlineStr">
        <is>
          <t>SP 40</t>
        </is>
      </c>
      <c r="B17" s="6" t="n">
        <v>15</v>
      </c>
      <c r="C17" s="6" t="n">
        <v>200</v>
      </c>
      <c r="D17" s="6" t="n">
        <v>71</v>
      </c>
      <c r="E17" s="6">
        <f>C17+D17</f>
        <v/>
      </c>
      <c r="F17" s="6" t="n">
        <v>4</v>
      </c>
      <c r="G17" s="6" t="inlineStr">
        <is>
          <t>Mar 23</t>
        </is>
      </c>
      <c r="H17" s="6" t="inlineStr">
        <is>
          <t>Jun 17</t>
        </is>
      </c>
      <c r="I17" s="9" t="n">
        <v>0.1395740377006899</v>
      </c>
      <c r="J17" s="10">
        <f>Assumptions!$D$12*I17</f>
        <v/>
      </c>
      <c r="K17" s="10">
        <f>IF(J17&gt;0,E17/J17,999)</f>
        <v/>
      </c>
      <c r="L17" s="14" t="inlineStr">
        <is>
          <t>Tight</t>
        </is>
      </c>
      <c r="M17" s="6" t="n">
        <v>265</v>
      </c>
      <c r="N17" s="12">
        <f>M17*Assumptions!$E$12</f>
        <v/>
      </c>
    </row>
    <row r="18">
      <c r="A18" s="6" t="inlineStr">
        <is>
          <t>SP 40</t>
        </is>
      </c>
      <c r="B18" s="6" t="n">
        <v>20</v>
      </c>
      <c r="C18" s="6" t="n">
        <v>125</v>
      </c>
      <c r="D18" s="6" t="n">
        <v>172</v>
      </c>
      <c r="E18" s="6">
        <f>C18+D18</f>
        <v/>
      </c>
      <c r="F18" s="6" t="n">
        <v>5</v>
      </c>
      <c r="G18" s="6" t="inlineStr">
        <is>
          <t>Dec 26+</t>
        </is>
      </c>
      <c r="H18" s="6" t="inlineStr">
        <is>
          <t>Jun 17</t>
        </is>
      </c>
      <c r="I18" s="9" t="n">
        <v>0.1633628223752827</v>
      </c>
      <c r="J18" s="10">
        <f>Assumptions!$D$12*I18</f>
        <v/>
      </c>
      <c r="K18" s="10">
        <f>IF(J18&gt;0,E18/J18,999)</f>
        <v/>
      </c>
      <c r="L18" s="14" t="inlineStr">
        <is>
          <t>Tight</t>
        </is>
      </c>
      <c r="M18" s="6" t="n">
        <v>335</v>
      </c>
      <c r="N18" s="12">
        <f>M18*Assumptions!$E$12</f>
        <v/>
      </c>
    </row>
    <row r="19">
      <c r="A19" s="6" t="inlineStr">
        <is>
          <t>SP 40</t>
        </is>
      </c>
      <c r="B19" s="6" t="n">
        <v>25</v>
      </c>
      <c r="C19" s="6" t="n">
        <v>55</v>
      </c>
      <c r="D19" s="6" t="n">
        <v>66</v>
      </c>
      <c r="E19" s="6">
        <f>C19+D19</f>
        <v/>
      </c>
      <c r="F19" s="6" t="n">
        <v>4</v>
      </c>
      <c r="G19" s="6" t="inlineStr">
        <is>
          <t>Mar 02</t>
        </is>
      </c>
      <c r="H19" s="6" t="inlineStr">
        <is>
          <t>Jun 17</t>
        </is>
      </c>
      <c r="I19" s="9" t="n">
        <v>0.09326370880522961</v>
      </c>
      <c r="J19" s="10">
        <f>Assumptions!$D$12*I19</f>
        <v/>
      </c>
      <c r="K19" s="10">
        <f>IF(J19&gt;0,E19/J19,999)</f>
        <v/>
      </c>
      <c r="L19" s="15" t="inlineStr">
        <is>
          <t>MISSING</t>
        </is>
      </c>
      <c r="M19" s="6" t="n">
        <v>240</v>
      </c>
      <c r="N19" s="12">
        <f>M19*Assumptions!$E$12</f>
        <v/>
      </c>
    </row>
    <row r="20">
      <c r="A20" s="6" t="inlineStr">
        <is>
          <t>SP 40</t>
        </is>
      </c>
      <c r="B20" s="6" t="n">
        <v>30</v>
      </c>
      <c r="C20" s="6" t="n">
        <v>65</v>
      </c>
      <c r="D20" s="6" t="n">
        <v>11</v>
      </c>
      <c r="E20" s="6">
        <f>C20+D20</f>
        <v/>
      </c>
      <c r="F20" s="6" t="n">
        <v>3</v>
      </c>
      <c r="G20" s="6" t="inlineStr">
        <is>
          <t>Mar 02</t>
        </is>
      </c>
      <c r="H20" s="6" t="inlineStr">
        <is>
          <t>Jun 17</t>
        </is>
      </c>
      <c r="I20" s="9" t="n">
        <v>0.06401141457261694</v>
      </c>
      <c r="J20" s="10">
        <f>Assumptions!$D$12*I20</f>
        <v/>
      </c>
      <c r="K20" s="10">
        <f>IF(J20&gt;0,E20/J20,999)</f>
        <v/>
      </c>
      <c r="L20" s="15" t="inlineStr">
        <is>
          <t>MISSING</t>
        </is>
      </c>
      <c r="M20" s="6" t="n">
        <v>170</v>
      </c>
      <c r="N20" s="12">
        <f>M20*Assumptions!$E$12</f>
        <v/>
      </c>
    </row>
    <row r="21">
      <c r="A21" s="6" t="inlineStr">
        <is>
          <t>SP 40</t>
        </is>
      </c>
      <c r="B21" s="6" t="n">
        <v>40</v>
      </c>
      <c r="C21" s="6" t="n">
        <v>40</v>
      </c>
      <c r="D21" s="6" t="n">
        <v>0</v>
      </c>
      <c r="E21" s="6">
        <f>C21+D21</f>
        <v/>
      </c>
      <c r="F21" s="6" t="n">
        <v>2</v>
      </c>
      <c r="G21" s="6" t="inlineStr">
        <is>
          <t>Mar 02</t>
        </is>
      </c>
      <c r="H21" s="6" t="inlineStr">
        <is>
          <t>Mar 23</t>
        </is>
      </c>
      <c r="I21" s="9" t="n">
        <v>0.03791708958586165</v>
      </c>
      <c r="J21" s="10">
        <f>Assumptions!$D$12*I21</f>
        <v/>
      </c>
      <c r="K21" s="10">
        <f>IF(J21&gt;0,E21/J21,999)</f>
        <v/>
      </c>
      <c r="L21" s="15" t="inlineStr">
        <is>
          <t>MISSING</t>
        </is>
      </c>
      <c r="M21" s="6" t="n">
        <v>110</v>
      </c>
      <c r="N21" s="12">
        <f>M21*Assumptions!$E$12</f>
        <v/>
      </c>
    </row>
    <row r="22">
      <c r="A22" s="6" t="inlineStr">
        <is>
          <t>SP 40</t>
        </is>
      </c>
      <c r="B22" s="6" t="n">
        <v>50</v>
      </c>
      <c r="C22" s="6" t="n">
        <v>231</v>
      </c>
      <c r="D22" s="6" t="n">
        <v>210</v>
      </c>
      <c r="E22" s="6">
        <f>C22+D22</f>
        <v/>
      </c>
      <c r="F22" s="6" t="n">
        <v>5</v>
      </c>
      <c r="G22" s="6" t="inlineStr">
        <is>
          <t>Dec 26+</t>
        </is>
      </c>
      <c r="H22" s="6" t="inlineStr">
        <is>
          <t>Jun 01</t>
        </is>
      </c>
      <c r="I22" s="9" t="n">
        <v>0.1990647203257737</v>
      </c>
      <c r="J22" s="10">
        <f>Assumptions!$D$12*I22</f>
        <v/>
      </c>
      <c r="K22" s="10">
        <f>IF(J22&gt;0,E22/J22,999)</f>
        <v/>
      </c>
      <c r="L22" s="14" t="inlineStr">
        <is>
          <t>Tight</t>
        </is>
      </c>
      <c r="M22" s="6" t="n">
        <v>325</v>
      </c>
      <c r="N22" s="12">
        <f>M22*Assumptions!$E$12</f>
        <v/>
      </c>
    </row>
    <row r="23">
      <c r="A23" s="6" t="inlineStr">
        <is>
          <t>SP 40</t>
        </is>
      </c>
      <c r="B23" s="6" t="n">
        <v>60</v>
      </c>
      <c r="C23" s="6" t="n">
        <v>5</v>
      </c>
      <c r="D23" s="6" t="n">
        <v>0</v>
      </c>
      <c r="E23" s="6">
        <f>C23+D23</f>
        <v/>
      </c>
      <c r="F23" s="6" t="n">
        <v>1</v>
      </c>
      <c r="G23" s="6" t="inlineStr">
        <is>
          <t>Mar 02</t>
        </is>
      </c>
      <c r="H23" s="6" t="inlineStr">
        <is>
          <t>Mar 02</t>
        </is>
      </c>
      <c r="I23" s="9" t="n">
        <v>0.009479272396465413</v>
      </c>
      <c r="J23" s="10">
        <f>Assumptions!$D$12*I23</f>
        <v/>
      </c>
      <c r="K23" s="10">
        <f>IF(J23&gt;0,E23/J23,999)</f>
        <v/>
      </c>
      <c r="L23" s="13" t="inlineStr">
        <is>
          <t>One-off</t>
        </is>
      </c>
      <c r="M23" s="6" t="n">
        <v>0</v>
      </c>
      <c r="N23" s="12">
        <f>M23*Assumptions!$E$12</f>
        <v/>
      </c>
    </row>
    <row r="24">
      <c r="A24" s="6" t="inlineStr">
        <is>
          <t>SP 40</t>
        </is>
      </c>
      <c r="B24" s="6" t="n">
        <v>80</v>
      </c>
      <c r="C24" s="6" t="n">
        <v>0</v>
      </c>
      <c r="D24" s="6" t="n">
        <v>30</v>
      </c>
      <c r="E24" s="6">
        <f>C24+D24</f>
        <v/>
      </c>
      <c r="F24" s="6" t="n">
        <v>1</v>
      </c>
      <c r="G24" s="6" t="inlineStr">
        <is>
          <t>Jun 01</t>
        </is>
      </c>
      <c r="H24" s="6" t="inlineStr">
        <is>
          <t>Jun 01</t>
        </is>
      </c>
      <c r="I24" s="9" t="n">
        <v>0.02321938050418975</v>
      </c>
      <c r="J24" s="10">
        <f>Assumptions!$D$12*I24</f>
        <v/>
      </c>
      <c r="K24" s="10">
        <f>IF(J24&gt;0,E24/J24,999)</f>
        <v/>
      </c>
      <c r="L24" s="13" t="inlineStr">
        <is>
          <t>One-off</t>
        </is>
      </c>
      <c r="M24" s="6" t="n">
        <v>0</v>
      </c>
      <c r="N24" s="12">
        <f>M24*Assumptions!$E$12</f>
        <v/>
      </c>
    </row>
    <row r="25">
      <c r="A25" s="6" t="inlineStr">
        <is>
          <t>SP 40</t>
        </is>
      </c>
      <c r="B25" s="6" t="n">
        <v>100</v>
      </c>
      <c r="C25" s="6" t="n">
        <v>20</v>
      </c>
      <c r="D25" s="6" t="n">
        <v>330</v>
      </c>
      <c r="E25" s="6">
        <f>C25+D25</f>
        <v/>
      </c>
      <c r="F25" s="6" t="n">
        <v>2</v>
      </c>
      <c r="G25" s="6" t="inlineStr">
        <is>
          <t>Mar 02</t>
        </is>
      </c>
      <c r="H25" s="6" t="inlineStr">
        <is>
          <t>Jun 01</t>
        </is>
      </c>
      <c r="I25" s="9" t="n">
        <v>0.1121602635664466</v>
      </c>
      <c r="J25" s="10">
        <f>Assumptions!$D$12*I25</f>
        <v/>
      </c>
      <c r="K25" s="10">
        <f>IF(J25&gt;0,E25/J25,999)</f>
        <v/>
      </c>
      <c r="L25" s="11" t="inlineStr">
        <is>
          <t>Balanced</t>
        </is>
      </c>
      <c r="M25" s="6" t="n">
        <v>85</v>
      </c>
      <c r="N25" s="12">
        <f>M25*Assumptions!$E$12</f>
        <v/>
      </c>
    </row>
    <row r="26">
      <c r="A26" s="6" t="inlineStr">
        <is>
          <t>SP 50</t>
        </is>
      </c>
      <c r="B26" s="6" t="n">
        <v>5</v>
      </c>
      <c r="C26" s="6" t="n">
        <v>25</v>
      </c>
      <c r="D26" s="6" t="n">
        <v>32</v>
      </c>
      <c r="E26" s="6">
        <f>C26+D26</f>
        <v/>
      </c>
      <c r="F26" s="6" t="n">
        <v>2</v>
      </c>
      <c r="G26" s="6" t="inlineStr">
        <is>
          <t>Mar 23</t>
        </is>
      </c>
      <c r="H26" s="6" t="inlineStr">
        <is>
          <t>Jun 17</t>
        </is>
      </c>
      <c r="I26" s="9" t="n">
        <v>0.02123932296751214</v>
      </c>
      <c r="J26" s="10">
        <f>Assumptions!$D$13*I26</f>
        <v/>
      </c>
      <c r="K26" s="10">
        <f>IF(J26&gt;0,E26/J26,999)</f>
        <v/>
      </c>
      <c r="L26" s="14" t="inlineStr">
        <is>
          <t>Tight</t>
        </is>
      </c>
      <c r="M26" s="6" t="n">
        <v>35</v>
      </c>
      <c r="N26" s="12">
        <f>M26*Assumptions!$E$13</f>
        <v/>
      </c>
    </row>
    <row r="27">
      <c r="A27" s="6" t="inlineStr">
        <is>
          <t>SP 50</t>
        </is>
      </c>
      <c r="B27" s="6" t="n">
        <v>7.5</v>
      </c>
      <c r="C27" s="6" t="n">
        <v>212</v>
      </c>
      <c r="D27" s="6" t="n">
        <v>64</v>
      </c>
      <c r="E27" s="6">
        <f>C27+D27</f>
        <v/>
      </c>
      <c r="F27" s="6" t="n">
        <v>8</v>
      </c>
      <c r="G27" s="6" t="inlineStr">
        <is>
          <t>Dec 26+</t>
        </is>
      </c>
      <c r="H27" s="6" t="inlineStr">
        <is>
          <t>Jun 17</t>
        </is>
      </c>
      <c r="I27" s="9" t="n">
        <v>0.09347334355833901</v>
      </c>
      <c r="J27" s="10">
        <f>Assumptions!$D$13*I27</f>
        <v/>
      </c>
      <c r="K27" s="10">
        <f>IF(J27&gt;0,E27/J27,999)</f>
        <v/>
      </c>
      <c r="L27" s="11" t="inlineStr">
        <is>
          <t>Balanced</t>
        </is>
      </c>
      <c r="M27" s="6" t="n">
        <v>125</v>
      </c>
      <c r="N27" s="12">
        <f>M27*Assumptions!$E$13</f>
        <v/>
      </c>
    </row>
    <row r="28">
      <c r="A28" s="6" t="inlineStr">
        <is>
          <t>SP 50</t>
        </is>
      </c>
      <c r="B28" s="6" t="n">
        <v>10</v>
      </c>
      <c r="C28" s="6" t="n">
        <v>19</v>
      </c>
      <c r="D28" s="6" t="n">
        <v>6</v>
      </c>
      <c r="E28" s="6">
        <f>C28+D28</f>
        <v/>
      </c>
      <c r="F28" s="6" t="n">
        <v>3</v>
      </c>
      <c r="G28" s="6" t="inlineStr">
        <is>
          <t>Dec 30</t>
        </is>
      </c>
      <c r="H28" s="6" t="inlineStr">
        <is>
          <t>Jun 17</t>
        </is>
      </c>
      <c r="I28" s="9" t="n">
        <v>0.01722736577822532</v>
      </c>
      <c r="J28" s="10">
        <f>Assumptions!$D$13*I28</f>
        <v/>
      </c>
      <c r="K28" s="10">
        <f>IF(J28&gt;0,E28/J28,999)</f>
        <v/>
      </c>
      <c r="L28" s="15" t="inlineStr">
        <is>
          <t>MISSING</t>
        </is>
      </c>
      <c r="M28" s="6" t="n">
        <v>50</v>
      </c>
      <c r="N28" s="12">
        <f>M28*Assumptions!$E$13</f>
        <v/>
      </c>
    </row>
    <row r="29">
      <c r="A29" s="6" t="inlineStr">
        <is>
          <t>SP 50</t>
        </is>
      </c>
      <c r="B29" s="6" t="n">
        <v>15</v>
      </c>
      <c r="C29" s="6" t="n">
        <v>269</v>
      </c>
      <c r="D29" s="6" t="n">
        <v>334</v>
      </c>
      <c r="E29" s="6">
        <f>C29+D29</f>
        <v/>
      </c>
      <c r="F29" s="6" t="n">
        <v>8</v>
      </c>
      <c r="G29" s="6" t="inlineStr">
        <is>
          <t>Dec 26+</t>
        </is>
      </c>
      <c r="H29" s="6" t="inlineStr">
        <is>
          <t>Jun 17</t>
        </is>
      </c>
      <c r="I29" s="9" t="n">
        <v>0.13816304393058</v>
      </c>
      <c r="J29" s="10">
        <f>Assumptions!$D$13*I29</f>
        <v/>
      </c>
      <c r="K29" s="10">
        <f>IF(J29&gt;0,E29/J29,999)</f>
        <v/>
      </c>
      <c r="L29" s="11" t="inlineStr">
        <is>
          <t>Balanced</t>
        </is>
      </c>
      <c r="M29" s="6" t="n">
        <v>0</v>
      </c>
      <c r="N29" s="12">
        <f>M29*Assumptions!$E$13</f>
        <v/>
      </c>
    </row>
    <row r="30">
      <c r="A30" s="6" t="inlineStr">
        <is>
          <t>SP 50</t>
        </is>
      </c>
      <c r="B30" s="6" t="n">
        <v>20</v>
      </c>
      <c r="C30" s="6" t="n">
        <v>73</v>
      </c>
      <c r="D30" s="6" t="n">
        <v>87</v>
      </c>
      <c r="E30" s="6">
        <f>C30+D30</f>
        <v/>
      </c>
      <c r="F30" s="6" t="n">
        <v>6</v>
      </c>
      <c r="G30" s="6" t="inlineStr">
        <is>
          <t>Jan 07</t>
        </is>
      </c>
      <c r="H30" s="6" t="inlineStr">
        <is>
          <t>Jun 17</t>
        </is>
      </c>
      <c r="I30" s="9" t="n">
        <v>0.06163449752538462</v>
      </c>
      <c r="J30" s="10">
        <f>Assumptions!$D$13*I30</f>
        <v/>
      </c>
      <c r="K30" s="10">
        <f>IF(J30&gt;0,E30/J30,999)</f>
        <v/>
      </c>
      <c r="L30" s="14" t="inlineStr">
        <is>
          <t>Tight</t>
        </is>
      </c>
      <c r="M30" s="6" t="n">
        <v>105</v>
      </c>
      <c r="N30" s="12">
        <f>M30*Assumptions!$E$13</f>
        <v/>
      </c>
    </row>
    <row r="31">
      <c r="A31" s="6" t="inlineStr">
        <is>
          <t>SP 50</t>
        </is>
      </c>
      <c r="B31" s="6" t="n">
        <v>25</v>
      </c>
      <c r="C31" s="6" t="n">
        <v>140</v>
      </c>
      <c r="D31" s="6" t="n">
        <v>66</v>
      </c>
      <c r="E31" s="6">
        <f>C31+D31</f>
        <v/>
      </c>
      <c r="F31" s="6" t="n">
        <v>5</v>
      </c>
      <c r="G31" s="6" t="inlineStr">
        <is>
          <t>Dec 26+</t>
        </is>
      </c>
      <c r="H31" s="6" t="inlineStr">
        <is>
          <t>Jun 17</t>
        </is>
      </c>
      <c r="I31" s="9" t="n">
        <v>0.06384205464597476</v>
      </c>
      <c r="J31" s="10">
        <f>Assumptions!$D$13*I31</f>
        <v/>
      </c>
      <c r="K31" s="10">
        <f>IF(J31&gt;0,E31/J31,999)</f>
        <v/>
      </c>
      <c r="L31" s="11" t="inlineStr">
        <is>
          <t>Balanced</t>
        </is>
      </c>
      <c r="M31" s="6" t="n">
        <v>70</v>
      </c>
      <c r="N31" s="12">
        <f>M31*Assumptions!$E$13</f>
        <v/>
      </c>
    </row>
    <row r="32">
      <c r="A32" s="6" t="inlineStr">
        <is>
          <t>SP 50</t>
        </is>
      </c>
      <c r="B32" s="6" t="n">
        <v>30</v>
      </c>
      <c r="C32" s="6" t="n">
        <v>75</v>
      </c>
      <c r="D32" s="6" t="n">
        <v>24</v>
      </c>
      <c r="E32" s="6">
        <f>C32+D32</f>
        <v/>
      </c>
      <c r="F32" s="6" t="n">
        <v>4</v>
      </c>
      <c r="G32" s="6" t="inlineStr">
        <is>
          <t>Jan 07</t>
        </is>
      </c>
      <c r="H32" s="6" t="inlineStr">
        <is>
          <t>Jun 17</t>
        </is>
      </c>
      <c r="I32" s="9" t="n">
        <v>0.03958547277913629</v>
      </c>
      <c r="J32" s="10">
        <f>Assumptions!$D$13*I32</f>
        <v/>
      </c>
      <c r="K32" s="10">
        <f>IF(J32&gt;0,E32/J32,999)</f>
        <v/>
      </c>
      <c r="L32" s="14" t="inlineStr">
        <is>
          <t>Tight</t>
        </is>
      </c>
      <c r="M32" s="6" t="n">
        <v>70</v>
      </c>
      <c r="N32" s="12">
        <f>M32*Assumptions!$E$13</f>
        <v/>
      </c>
    </row>
    <row r="33">
      <c r="A33" s="6" t="inlineStr">
        <is>
          <t>SP 50</t>
        </is>
      </c>
      <c r="B33" s="6" t="n">
        <v>40</v>
      </c>
      <c r="C33" s="6" t="n">
        <v>105</v>
      </c>
      <c r="D33" s="6" t="n">
        <v>162</v>
      </c>
      <c r="E33" s="6">
        <f>C33+D33</f>
        <v/>
      </c>
      <c r="F33" s="6" t="n">
        <v>7</v>
      </c>
      <c r="G33" s="6" t="inlineStr">
        <is>
          <t>Mar 02</t>
        </is>
      </c>
      <c r="H33" s="6" t="inlineStr">
        <is>
          <t>Jun 17</t>
        </is>
      </c>
      <c r="I33" s="9" t="n">
        <v>0.085998899532998</v>
      </c>
      <c r="J33" s="10">
        <f>Assumptions!$D$13*I33</f>
        <v/>
      </c>
      <c r="K33" s="10">
        <f>IF(J33&gt;0,E33/J33,999)</f>
        <v/>
      </c>
      <c r="L33" s="11" t="inlineStr">
        <is>
          <t>Balanced</t>
        </is>
      </c>
      <c r="M33" s="6" t="n">
        <v>100</v>
      </c>
      <c r="N33" s="12">
        <f>M33*Assumptions!$E$13</f>
        <v/>
      </c>
    </row>
    <row r="34">
      <c r="A34" s="6" t="inlineStr">
        <is>
          <t>SP 50</t>
        </is>
      </c>
      <c r="B34" s="6" t="n">
        <v>50</v>
      </c>
      <c r="C34" s="6" t="n">
        <v>269</v>
      </c>
      <c r="D34" s="6" t="n">
        <v>295</v>
      </c>
      <c r="E34" s="6">
        <f>C34+D34</f>
        <v/>
      </c>
      <c r="F34" s="6" t="n">
        <v>8</v>
      </c>
      <c r="G34" s="6" t="inlineStr">
        <is>
          <t>Jan 07</t>
        </is>
      </c>
      <c r="H34" s="6" t="inlineStr">
        <is>
          <t>Jun 17</t>
        </is>
      </c>
      <c r="I34" s="9" t="n">
        <v>0.133620406527114</v>
      </c>
      <c r="J34" s="10">
        <f>Assumptions!$D$13*I34</f>
        <v/>
      </c>
      <c r="K34" s="10">
        <f>IF(J34&gt;0,E34/J34,999)</f>
        <v/>
      </c>
      <c r="L34" s="11" t="inlineStr">
        <is>
          <t>Balanced</t>
        </is>
      </c>
      <c r="M34" s="6" t="n">
        <v>10</v>
      </c>
      <c r="N34" s="12">
        <f>M34*Assumptions!$E$13</f>
        <v/>
      </c>
    </row>
    <row r="35">
      <c r="A35" s="6" t="inlineStr">
        <is>
          <t>SP 50</t>
        </is>
      </c>
      <c r="B35" s="6" t="n">
        <v>60</v>
      </c>
      <c r="C35" s="6" t="n">
        <v>65</v>
      </c>
      <c r="D35" s="6" t="n">
        <v>126</v>
      </c>
      <c r="E35" s="6">
        <f>C35+D35</f>
        <v/>
      </c>
      <c r="F35" s="6" t="n">
        <v>5</v>
      </c>
      <c r="G35" s="6" t="inlineStr">
        <is>
          <t>Mar 02</t>
        </is>
      </c>
      <c r="H35" s="6" t="inlineStr">
        <is>
          <t>Jun 17</t>
        </is>
      </c>
      <c r="I35" s="9" t="n">
        <v>0.06147378148253821</v>
      </c>
      <c r="J35" s="10">
        <f>Assumptions!$D$13*I35</f>
        <v/>
      </c>
      <c r="K35" s="10">
        <f>IF(J35&gt;0,E35/J35,999)</f>
        <v/>
      </c>
      <c r="L35" s="11" t="inlineStr">
        <is>
          <t>Balanced</t>
        </is>
      </c>
      <c r="M35" s="6" t="n">
        <v>75</v>
      </c>
      <c r="N35" s="12">
        <f>M35*Assumptions!$E$13</f>
        <v/>
      </c>
    </row>
    <row r="36">
      <c r="A36" s="6" t="inlineStr">
        <is>
          <t>SP 50</t>
        </is>
      </c>
      <c r="B36" s="6" t="n">
        <v>80</v>
      </c>
      <c r="C36" s="6" t="n">
        <v>10</v>
      </c>
      <c r="D36" s="6" t="n">
        <v>30</v>
      </c>
      <c r="E36" s="6">
        <f>C36+D36</f>
        <v/>
      </c>
      <c r="F36" s="6" t="n">
        <v>2</v>
      </c>
      <c r="G36" s="6" t="inlineStr">
        <is>
          <t>Mar 02</t>
        </is>
      </c>
      <c r="H36" s="6" t="inlineStr">
        <is>
          <t>Jun 01</t>
        </is>
      </c>
      <c r="I36" s="9" t="n">
        <v>0.01779234686882407</v>
      </c>
      <c r="J36" s="10">
        <f>Assumptions!$D$13*I36</f>
        <v/>
      </c>
      <c r="K36" s="10">
        <f>IF(J36&gt;0,E36/J36,999)</f>
        <v/>
      </c>
      <c r="L36" s="14" t="inlineStr">
        <is>
          <t>Tight</t>
        </is>
      </c>
      <c r="M36" s="6" t="n">
        <v>40</v>
      </c>
      <c r="N36" s="12">
        <f>M36*Assumptions!$E$13</f>
        <v/>
      </c>
    </row>
    <row r="37">
      <c r="A37" s="6" t="inlineStr">
        <is>
          <t>SP 50</t>
        </is>
      </c>
      <c r="B37" s="6" t="n">
        <v>100</v>
      </c>
      <c r="C37" s="6" t="n">
        <v>1227</v>
      </c>
      <c r="D37" s="6" t="n">
        <v>759</v>
      </c>
      <c r="E37" s="6">
        <f>C37+D37</f>
        <v/>
      </c>
      <c r="F37" s="6" t="n">
        <v>9</v>
      </c>
      <c r="G37" s="6" t="inlineStr">
        <is>
          <t>Dec 26</t>
        </is>
      </c>
      <c r="H37" s="6" t="inlineStr">
        <is>
          <t>Jun 17</t>
        </is>
      </c>
      <c r="I37" s="9" t="n">
        <v>0.2659494644033734</v>
      </c>
      <c r="J37" s="10">
        <f>Assumptions!$D$13*I37</f>
        <v/>
      </c>
      <c r="K37" s="10">
        <f>IF(J37&gt;0,E37/J37,999)</f>
        <v/>
      </c>
      <c r="L37" s="16" t="inlineStr">
        <is>
          <t>Heavy</t>
        </is>
      </c>
      <c r="M37" s="6" t="n">
        <v>0</v>
      </c>
      <c r="N37" s="12">
        <f>M37*Assumptions!$E$13</f>
        <v/>
      </c>
    </row>
    <row r="38">
      <c r="A38" s="6" t="inlineStr">
        <is>
          <t>SP 63</t>
        </is>
      </c>
      <c r="B38" s="6" t="n">
        <v>5</v>
      </c>
      <c r="C38" s="6" t="n">
        <v>24</v>
      </c>
      <c r="D38" s="6" t="n">
        <v>66</v>
      </c>
      <c r="E38" s="6">
        <f>C38+D38</f>
        <v/>
      </c>
      <c r="F38" s="6" t="n">
        <v>1</v>
      </c>
      <c r="G38" s="6" t="inlineStr">
        <is>
          <t>Mar 23</t>
        </is>
      </c>
      <c r="H38" s="6" t="inlineStr">
        <is>
          <t>Mar 23</t>
        </is>
      </c>
      <c r="I38" s="9" t="n">
        <v>0.02294663059855952</v>
      </c>
      <c r="J38" s="10">
        <f>Assumptions!$D$14*I38</f>
        <v/>
      </c>
      <c r="K38" s="10">
        <f>IF(J38&gt;0,E38/J38,999)</f>
        <v/>
      </c>
      <c r="L38" s="13" t="inlineStr">
        <is>
          <t>One-off</t>
        </is>
      </c>
      <c r="M38" s="6" t="n">
        <v>0</v>
      </c>
      <c r="N38" s="12">
        <f>M38*Assumptions!$E$14</f>
        <v/>
      </c>
    </row>
    <row r="39">
      <c r="A39" s="6" t="inlineStr">
        <is>
          <t>SP 63</t>
        </is>
      </c>
      <c r="B39" s="6" t="n">
        <v>7.5</v>
      </c>
      <c r="C39" s="6" t="n">
        <v>10</v>
      </c>
      <c r="D39" s="6" t="n">
        <v>156</v>
      </c>
      <c r="E39" s="6">
        <f>C39+D39</f>
        <v/>
      </c>
      <c r="F39" s="6" t="n">
        <v>5</v>
      </c>
      <c r="G39" s="6" t="inlineStr">
        <is>
          <t>Mar 02</t>
        </is>
      </c>
      <c r="H39" s="6" t="inlineStr">
        <is>
          <t>Jun 17</t>
        </is>
      </c>
      <c r="I39" s="9" t="n">
        <v>0.06968458464444557</v>
      </c>
      <c r="J39" s="10">
        <f>Assumptions!$D$14*I39</f>
        <v/>
      </c>
      <c r="K39" s="10">
        <f>IF(J39&gt;0,E39/J39,999)</f>
        <v/>
      </c>
      <c r="L39" s="11" t="inlineStr">
        <is>
          <t>Balanced</t>
        </is>
      </c>
      <c r="M39" s="6" t="n">
        <v>65</v>
      </c>
      <c r="N39" s="12">
        <f>M39*Assumptions!$E$14</f>
        <v/>
      </c>
    </row>
    <row r="40">
      <c r="A40" s="6" t="inlineStr">
        <is>
          <t>SP 63</t>
        </is>
      </c>
      <c r="B40" s="6" t="n">
        <v>10</v>
      </c>
      <c r="C40" s="6" t="n">
        <v>10</v>
      </c>
      <c r="D40" s="6" t="n">
        <v>29</v>
      </c>
      <c r="E40" s="6">
        <f>C40+D40</f>
        <v/>
      </c>
      <c r="F40" s="6" t="n">
        <v>3</v>
      </c>
      <c r="G40" s="6" t="inlineStr">
        <is>
          <t>Mar 02</t>
        </is>
      </c>
      <c r="H40" s="6" t="inlineStr">
        <is>
          <t>Jun 17</t>
        </is>
      </c>
      <c r="I40" s="9" t="n">
        <v>0.02616318429730549</v>
      </c>
      <c r="J40" s="10">
        <f>Assumptions!$D$14*I40</f>
        <v/>
      </c>
      <c r="K40" s="10">
        <f>IF(J40&gt;0,E40/J40,999)</f>
        <v/>
      </c>
      <c r="L40" s="14" t="inlineStr">
        <is>
          <t>Tight</t>
        </is>
      </c>
      <c r="M40" s="6" t="n">
        <v>50</v>
      </c>
      <c r="N40" s="12">
        <f>M40*Assumptions!$E$14</f>
        <v/>
      </c>
    </row>
    <row r="41">
      <c r="A41" s="6" t="inlineStr">
        <is>
          <t>SP 63</t>
        </is>
      </c>
      <c r="B41" s="6" t="n">
        <v>15</v>
      </c>
      <c r="C41" s="6" t="n">
        <v>35</v>
      </c>
      <c r="D41" s="6" t="n">
        <v>282</v>
      </c>
      <c r="E41" s="6">
        <f>C41+D41</f>
        <v/>
      </c>
      <c r="F41" s="6" t="n">
        <v>7</v>
      </c>
      <c r="G41" s="6" t="inlineStr">
        <is>
          <t>Jan 07</t>
        </is>
      </c>
      <c r="H41" s="6" t="inlineStr">
        <is>
          <t>Jun 17</t>
        </is>
      </c>
      <c r="I41" s="9" t="n">
        <v>0.1139400276987637</v>
      </c>
      <c r="J41" s="10">
        <f>Assumptions!$D$14*I41</f>
        <v/>
      </c>
      <c r="K41" s="10">
        <f>IF(J41&gt;0,E41/J41,999)</f>
        <v/>
      </c>
      <c r="L41" s="11" t="inlineStr">
        <is>
          <t>Balanced</t>
        </is>
      </c>
      <c r="M41" s="6" t="n">
        <v>55</v>
      </c>
      <c r="N41" s="12">
        <f>M41*Assumptions!$E$14</f>
        <v/>
      </c>
    </row>
    <row r="42">
      <c r="A42" s="6" t="inlineStr">
        <is>
          <t>SP 63</t>
        </is>
      </c>
      <c r="B42" s="6" t="n">
        <v>20</v>
      </c>
      <c r="C42" s="6" t="n">
        <v>87</v>
      </c>
      <c r="D42" s="6" t="n">
        <v>219</v>
      </c>
      <c r="E42" s="6">
        <f>C42+D42</f>
        <v/>
      </c>
      <c r="F42" s="6" t="n">
        <v>6</v>
      </c>
      <c r="G42" s="6" t="inlineStr">
        <is>
          <t>Jan 07</t>
        </is>
      </c>
      <c r="H42" s="6" t="inlineStr">
        <is>
          <t>Jun 17</t>
        </is>
      </c>
      <c r="I42" s="9" t="n">
        <v>0.1036415759184781</v>
      </c>
      <c r="J42" s="10">
        <f>Assumptions!$D$14*I42</f>
        <v/>
      </c>
      <c r="K42" s="10">
        <f>IF(J42&gt;0,E42/J42,999)</f>
        <v/>
      </c>
      <c r="L42" s="11" t="inlineStr">
        <is>
          <t>Balanced</t>
        </is>
      </c>
      <c r="M42" s="6" t="n">
        <v>35</v>
      </c>
      <c r="N42" s="12">
        <f>M42*Assumptions!$E$14</f>
        <v/>
      </c>
    </row>
    <row r="43">
      <c r="A43" s="6" t="inlineStr">
        <is>
          <t>SP 63</t>
        </is>
      </c>
      <c r="B43" s="6" t="n">
        <v>25</v>
      </c>
      <c r="C43" s="6" t="n">
        <v>179</v>
      </c>
      <c r="D43" s="6" t="n">
        <v>85</v>
      </c>
      <c r="E43" s="6">
        <f>C43+D43</f>
        <v/>
      </c>
      <c r="F43" s="6" t="n">
        <v>5</v>
      </c>
      <c r="G43" s="6" t="inlineStr">
        <is>
          <t>Jan 07</t>
        </is>
      </c>
      <c r="H43" s="6" t="inlineStr">
        <is>
          <t>Jun 17</t>
        </is>
      </c>
      <c r="I43" s="9" t="n">
        <v>0.08787890466692774</v>
      </c>
      <c r="J43" s="10">
        <f>Assumptions!$D$14*I43</f>
        <v/>
      </c>
      <c r="K43" s="10">
        <f>IF(J43&gt;0,E43/J43,999)</f>
        <v/>
      </c>
      <c r="L43" s="11" t="inlineStr">
        <is>
          <t>Balanced</t>
        </is>
      </c>
      <c r="M43" s="6" t="n">
        <v>25</v>
      </c>
      <c r="N43" s="12">
        <f>M43*Assumptions!$E$14</f>
        <v/>
      </c>
    </row>
    <row r="44">
      <c r="A44" s="6" t="inlineStr">
        <is>
          <t>SP 63</t>
        </is>
      </c>
      <c r="B44" s="6" t="n">
        <v>30</v>
      </c>
      <c r="C44" s="6" t="n">
        <v>154</v>
      </c>
      <c r="D44" s="6" t="n">
        <v>167</v>
      </c>
      <c r="E44" s="6">
        <f>C44+D44</f>
        <v/>
      </c>
      <c r="F44" s="6" t="n">
        <v>8</v>
      </c>
      <c r="G44" s="6" t="inlineStr">
        <is>
          <t>Dec 30</t>
        </is>
      </c>
      <c r="H44" s="6" t="inlineStr">
        <is>
          <t>Jun 17</t>
        </is>
      </c>
      <c r="I44" s="9" t="n">
        <v>0.1225731026214828</v>
      </c>
      <c r="J44" s="10">
        <f>Assumptions!$D$14*I44</f>
        <v/>
      </c>
      <c r="K44" s="10">
        <f>IF(J44&gt;0,E44/J44,999)</f>
        <v/>
      </c>
      <c r="L44" s="11" t="inlineStr">
        <is>
          <t>Balanced</t>
        </is>
      </c>
      <c r="M44" s="6" t="n">
        <v>80</v>
      </c>
      <c r="N44" s="12">
        <f>M44*Assumptions!$E$14</f>
        <v/>
      </c>
    </row>
    <row r="45">
      <c r="A45" s="6" t="inlineStr">
        <is>
          <t>SP 63</t>
        </is>
      </c>
      <c r="B45" s="6" t="n">
        <v>40</v>
      </c>
      <c r="C45" s="6" t="n">
        <v>15</v>
      </c>
      <c r="D45" s="6" t="n">
        <v>40</v>
      </c>
      <c r="E45" s="6">
        <f>C45+D45</f>
        <v/>
      </c>
      <c r="F45" s="6" t="n">
        <v>3</v>
      </c>
      <c r="G45" s="6" t="inlineStr">
        <is>
          <t>Mar 02</t>
        </is>
      </c>
      <c r="H45" s="6" t="inlineStr">
        <is>
          <t>Jun 01</t>
        </is>
      </c>
      <c r="I45" s="9" t="n">
        <v>0.03106988470661537</v>
      </c>
      <c r="J45" s="10">
        <f>Assumptions!$D$14*I45</f>
        <v/>
      </c>
      <c r="K45" s="10">
        <f>IF(J45&gt;0,E45/J45,999)</f>
        <v/>
      </c>
      <c r="L45" s="14" t="inlineStr">
        <is>
          <t>Tight</t>
        </is>
      </c>
      <c r="M45" s="6" t="n">
        <v>50</v>
      </c>
      <c r="N45" s="12">
        <f>M45*Assumptions!$E$14</f>
        <v/>
      </c>
    </row>
    <row r="46">
      <c r="A46" s="6" t="inlineStr">
        <is>
          <t>SP 63</t>
        </is>
      </c>
      <c r="B46" s="6" t="n">
        <v>50</v>
      </c>
      <c r="C46" s="6" t="n">
        <v>104</v>
      </c>
      <c r="D46" s="6" t="n">
        <v>590</v>
      </c>
      <c r="E46" s="6">
        <f>C46+D46</f>
        <v/>
      </c>
      <c r="F46" s="6" t="n">
        <v>8</v>
      </c>
      <c r="G46" s="6" t="inlineStr">
        <is>
          <t>Dec 30</t>
        </is>
      </c>
      <c r="H46" s="6" t="inlineStr">
        <is>
          <t>Jun 17</t>
        </is>
      </c>
      <c r="I46" s="9" t="n">
        <v>0.1802280560089881</v>
      </c>
      <c r="J46" s="10">
        <f>Assumptions!$D$14*I46</f>
        <v/>
      </c>
      <c r="K46" s="10">
        <f>IF(J46&gt;0,E46/J46,999)</f>
        <v/>
      </c>
      <c r="L46" s="11" t="inlineStr">
        <is>
          <t>Balanced</t>
        </is>
      </c>
      <c r="M46" s="6" t="n">
        <v>0</v>
      </c>
      <c r="N46" s="12">
        <f>M46*Assumptions!$E$14</f>
        <v/>
      </c>
    </row>
    <row r="47">
      <c r="A47" s="6" t="inlineStr">
        <is>
          <t>SP 63</t>
        </is>
      </c>
      <c r="B47" s="6" t="n">
        <v>60</v>
      </c>
      <c r="C47" s="6" t="n">
        <v>13</v>
      </c>
      <c r="D47" s="6" t="n">
        <v>10</v>
      </c>
      <c r="E47" s="6">
        <f>C47+D47</f>
        <v/>
      </c>
      <c r="F47" s="6" t="n">
        <v>3</v>
      </c>
      <c r="G47" s="6" t="inlineStr">
        <is>
          <t>Jan 07</t>
        </is>
      </c>
      <c r="H47" s="6" t="inlineStr">
        <is>
          <t>Jun 03</t>
        </is>
      </c>
      <c r="I47" s="9" t="n">
        <v>0.02009195583976766</v>
      </c>
      <c r="J47" s="10">
        <f>Assumptions!$D$14*I47</f>
        <v/>
      </c>
      <c r="K47" s="10">
        <f>IF(J47&gt;0,E47/J47,999)</f>
        <v/>
      </c>
      <c r="L47" s="15" t="inlineStr">
        <is>
          <t>MISSING</t>
        </is>
      </c>
      <c r="M47" s="6" t="n">
        <v>45</v>
      </c>
      <c r="N47" s="12">
        <f>M47*Assumptions!$E$14</f>
        <v/>
      </c>
    </row>
    <row r="48">
      <c r="A48" s="6" t="inlineStr">
        <is>
          <t>SP 63</t>
        </is>
      </c>
      <c r="B48" s="6" t="n">
        <v>80</v>
      </c>
      <c r="C48" s="6" t="n">
        <v>115</v>
      </c>
      <c r="D48" s="6" t="n">
        <v>50</v>
      </c>
      <c r="E48" s="6">
        <f>C48+D48</f>
        <v/>
      </c>
      <c r="F48" s="6" t="n">
        <v>7</v>
      </c>
      <c r="G48" s="6" t="inlineStr">
        <is>
          <t>Dec 30</t>
        </is>
      </c>
      <c r="H48" s="6" t="inlineStr">
        <is>
          <t>Jun 17</t>
        </is>
      </c>
      <c r="I48" s="9" t="n">
        <v>0.0822031881971533</v>
      </c>
      <c r="J48" s="10">
        <f>Assumptions!$D$14*I48</f>
        <v/>
      </c>
      <c r="K48" s="10">
        <f>IF(J48&gt;0,E48/J48,999)</f>
        <v/>
      </c>
      <c r="L48" s="14" t="inlineStr">
        <is>
          <t>Tight</t>
        </is>
      </c>
      <c r="M48" s="6" t="n">
        <v>105</v>
      </c>
      <c r="N48" s="12">
        <f>M48*Assumptions!$E$14</f>
        <v/>
      </c>
    </row>
    <row r="49">
      <c r="A49" s="6" t="inlineStr">
        <is>
          <t>SP 63</t>
        </is>
      </c>
      <c r="B49" s="6" t="n">
        <v>100</v>
      </c>
      <c r="C49" s="6" t="n">
        <v>366</v>
      </c>
      <c r="D49" s="6" t="n">
        <v>300</v>
      </c>
      <c r="E49" s="6">
        <f>C49+D49</f>
        <v/>
      </c>
      <c r="F49" s="6" t="n">
        <v>5</v>
      </c>
      <c r="G49" s="6" t="inlineStr">
        <is>
          <t>Dec 26</t>
        </is>
      </c>
      <c r="H49" s="6" t="inlineStr">
        <is>
          <t>May 08</t>
        </is>
      </c>
      <c r="I49" s="9" t="n">
        <v>0.1395789048015125</v>
      </c>
      <c r="J49" s="10">
        <f>Assumptions!$D$14*I49</f>
        <v/>
      </c>
      <c r="K49" s="10">
        <f>IF(J49&gt;0,E49/J49,999)</f>
        <v/>
      </c>
      <c r="L49" s="16" t="inlineStr">
        <is>
          <t>Heavy</t>
        </is>
      </c>
      <c r="M49" s="6" t="n">
        <v>0</v>
      </c>
      <c r="N49" s="12">
        <f>M49*Assumptions!$E$14</f>
        <v/>
      </c>
    </row>
    <row r="50">
      <c r="A50" s="6" t="inlineStr">
        <is>
          <t>SP 75</t>
        </is>
      </c>
      <c r="B50" s="6" t="n">
        <v>7.5</v>
      </c>
      <c r="C50" s="6" t="n">
        <v>0</v>
      </c>
      <c r="D50" s="6" t="n">
        <v>6</v>
      </c>
      <c r="E50" s="6">
        <f>C50+D50</f>
        <v/>
      </c>
      <c r="F50" s="6" t="n">
        <v>1</v>
      </c>
      <c r="G50" s="6" t="inlineStr">
        <is>
          <t>Jun 17</t>
        </is>
      </c>
      <c r="H50" s="6" t="inlineStr">
        <is>
          <t>Jun 17</t>
        </is>
      </c>
      <c r="I50" s="9" t="n">
        <v>0.01957275148241256</v>
      </c>
      <c r="J50" s="10">
        <f>Assumptions!$D$15*I50</f>
        <v/>
      </c>
      <c r="K50" s="10">
        <f>IF(J50&gt;0,E50/J50,999)</f>
        <v/>
      </c>
      <c r="L50" s="13" t="inlineStr">
        <is>
          <t>One-off</t>
        </is>
      </c>
      <c r="M50" s="6" t="n">
        <v>0</v>
      </c>
      <c r="N50" s="12">
        <f>M50*Assumptions!$E$15</f>
        <v/>
      </c>
    </row>
    <row r="51">
      <c r="A51" s="6" t="inlineStr">
        <is>
          <t>SP 75</t>
        </is>
      </c>
      <c r="B51" s="6" t="n">
        <v>10</v>
      </c>
      <c r="C51" s="6" t="n">
        <v>8</v>
      </c>
      <c r="D51" s="6" t="n">
        <v>0</v>
      </c>
      <c r="E51" s="6">
        <f>C51+D51</f>
        <v/>
      </c>
      <c r="F51" s="6" t="n">
        <v>1</v>
      </c>
      <c r="G51" s="6" t="inlineStr">
        <is>
          <t>Mar 02</t>
        </is>
      </c>
      <c r="H51" s="6" t="inlineStr">
        <is>
          <t>Mar 02</t>
        </is>
      </c>
      <c r="I51" s="9" t="n">
        <v>0.02260066667430508</v>
      </c>
      <c r="J51" s="10">
        <f>Assumptions!$D$15*I51</f>
        <v/>
      </c>
      <c r="K51" s="10">
        <f>IF(J51&gt;0,E51/J51,999)</f>
        <v/>
      </c>
      <c r="L51" s="13" t="inlineStr">
        <is>
          <t>One-off</t>
        </is>
      </c>
      <c r="M51" s="6" t="n">
        <v>0</v>
      </c>
      <c r="N51" s="12">
        <f>M51*Assumptions!$E$15</f>
        <v/>
      </c>
    </row>
    <row r="52">
      <c r="A52" s="6" t="inlineStr">
        <is>
          <t>SP 75</t>
        </is>
      </c>
      <c r="B52" s="6" t="n">
        <v>15</v>
      </c>
      <c r="C52" s="6" t="n">
        <v>5</v>
      </c>
      <c r="D52" s="6" t="n">
        <v>36</v>
      </c>
      <c r="E52" s="6">
        <f>C52+D52</f>
        <v/>
      </c>
      <c r="F52" s="6" t="n">
        <v>4</v>
      </c>
      <c r="G52" s="6" t="inlineStr">
        <is>
          <t>Mar 02</t>
        </is>
      </c>
      <c r="H52" s="6" t="inlineStr">
        <is>
          <t>Jun 17</t>
        </is>
      </c>
      <c r="I52" s="9" t="n">
        <v>0.1023288705572499</v>
      </c>
      <c r="J52" s="10">
        <f>Assumptions!$D$15*I52</f>
        <v/>
      </c>
      <c r="K52" s="10">
        <f>IF(J52&gt;0,E52/J52,999)</f>
        <v/>
      </c>
      <c r="L52" s="15" t="inlineStr">
        <is>
          <t>MISSING</t>
        </is>
      </c>
      <c r="M52" s="6" t="n">
        <v>80</v>
      </c>
      <c r="N52" s="12">
        <f>M52*Assumptions!$E$15</f>
        <v/>
      </c>
    </row>
    <row r="53">
      <c r="A53" s="6" t="inlineStr">
        <is>
          <t>SP 75</t>
        </is>
      </c>
      <c r="B53" s="6" t="n">
        <v>25</v>
      </c>
      <c r="C53" s="6" t="n">
        <v>0</v>
      </c>
      <c r="D53" s="6" t="n">
        <v>35</v>
      </c>
      <c r="E53" s="6">
        <f>C53+D53</f>
        <v/>
      </c>
      <c r="F53" s="6" t="n">
        <v>2</v>
      </c>
      <c r="G53" s="6" t="inlineStr">
        <is>
          <t>Jun 01</t>
        </is>
      </c>
      <c r="H53" s="6" t="inlineStr">
        <is>
          <t>Jun 17</t>
        </is>
      </c>
      <c r="I53" s="9" t="n">
        <v>0.06685367359821474</v>
      </c>
      <c r="J53" s="10">
        <f>Assumptions!$D$15*I53</f>
        <v/>
      </c>
      <c r="K53" s="10">
        <f>IF(J53&gt;0,E53/J53,999)</f>
        <v/>
      </c>
      <c r="L53" s="14" t="inlineStr">
        <is>
          <t>Tight</t>
        </is>
      </c>
      <c r="M53" s="6" t="n">
        <v>45</v>
      </c>
      <c r="N53" s="12">
        <f>M53*Assumptions!$E$15</f>
        <v/>
      </c>
    </row>
    <row r="54">
      <c r="A54" s="6" t="inlineStr">
        <is>
          <t>SP 75</t>
        </is>
      </c>
      <c r="B54" s="6" t="n">
        <v>30</v>
      </c>
      <c r="C54" s="6" t="n">
        <v>60</v>
      </c>
      <c r="D54" s="6" t="n">
        <v>46</v>
      </c>
      <c r="E54" s="6">
        <f>C54+D54</f>
        <v/>
      </c>
      <c r="F54" s="6" t="n">
        <v>6</v>
      </c>
      <c r="G54" s="6" t="inlineStr">
        <is>
          <t>Jan 07</t>
        </is>
      </c>
      <c r="H54" s="6" t="inlineStr">
        <is>
          <t>Jun 17</t>
        </is>
      </c>
      <c r="I54" s="9" t="n">
        <v>0.2015138101043748</v>
      </c>
      <c r="J54" s="10">
        <f>Assumptions!$D$15*I54</f>
        <v/>
      </c>
      <c r="K54" s="10">
        <f>IF(J54&gt;0,E54/J54,999)</f>
        <v/>
      </c>
      <c r="L54" s="14" t="inlineStr">
        <is>
          <t>Tight</t>
        </is>
      </c>
      <c r="M54" s="6" t="n">
        <v>125</v>
      </c>
      <c r="N54" s="12">
        <f>M54*Assumptions!$E$15</f>
        <v/>
      </c>
    </row>
    <row r="55">
      <c r="A55" s="6" t="inlineStr">
        <is>
          <t>SP 75</t>
        </is>
      </c>
      <c r="B55" s="6" t="n">
        <v>40</v>
      </c>
      <c r="C55" s="6" t="n">
        <v>30</v>
      </c>
      <c r="D55" s="6" t="n">
        <v>14</v>
      </c>
      <c r="E55" s="6">
        <f>C55+D55</f>
        <v/>
      </c>
      <c r="F55" s="6" t="n">
        <v>4</v>
      </c>
      <c r="G55" s="6" t="inlineStr">
        <is>
          <t>Jan 07</t>
        </is>
      </c>
      <c r="H55" s="6" t="inlineStr">
        <is>
          <t>Jun 17</t>
        </is>
      </c>
      <c r="I55" s="9" t="n">
        <v>0.1060065231516767</v>
      </c>
      <c r="J55" s="10">
        <f>Assumptions!$D$15*I55</f>
        <v/>
      </c>
      <c r="K55" s="10">
        <f>IF(J55&gt;0,E55/J55,999)</f>
        <v/>
      </c>
      <c r="L55" s="15" t="inlineStr">
        <is>
          <t>MISSING</t>
        </is>
      </c>
      <c r="M55" s="6" t="n">
        <v>80</v>
      </c>
      <c r="N55" s="12">
        <f>M55*Assumptions!$E$15</f>
        <v/>
      </c>
    </row>
    <row r="56">
      <c r="A56" s="6" t="inlineStr">
        <is>
          <t>SP 75</t>
        </is>
      </c>
      <c r="B56" s="6" t="n">
        <v>50</v>
      </c>
      <c r="C56" s="6" t="n">
        <v>25</v>
      </c>
      <c r="D56" s="6" t="n">
        <v>18</v>
      </c>
      <c r="E56" s="6">
        <f>C56+D56</f>
        <v/>
      </c>
      <c r="F56" s="6" t="n">
        <v>4</v>
      </c>
      <c r="G56" s="6" t="inlineStr">
        <is>
          <t>Jan 07</t>
        </is>
      </c>
      <c r="H56" s="6" t="inlineStr">
        <is>
          <t>Jun 17</t>
        </is>
      </c>
      <c r="I56" s="9" t="n">
        <v>0.1047949802406845</v>
      </c>
      <c r="J56" s="10">
        <f>Assumptions!$D$15*I56</f>
        <v/>
      </c>
      <c r="K56" s="10">
        <f>IF(J56&gt;0,E56/J56,999)</f>
        <v/>
      </c>
      <c r="L56" s="15" t="inlineStr">
        <is>
          <t>MISSING</t>
        </is>
      </c>
      <c r="M56" s="6" t="n">
        <v>80</v>
      </c>
      <c r="N56" s="12">
        <f>M56*Assumptions!$E$15</f>
        <v/>
      </c>
    </row>
    <row r="57">
      <c r="A57" s="6" t="inlineStr">
        <is>
          <t>SP 75</t>
        </is>
      </c>
      <c r="B57" s="6" t="n">
        <v>60</v>
      </c>
      <c r="C57" s="6" t="n">
        <v>0</v>
      </c>
      <c r="D57" s="6" t="n">
        <v>35</v>
      </c>
      <c r="E57" s="6">
        <f>C57+D57</f>
        <v/>
      </c>
      <c r="F57" s="6" t="n">
        <v>3</v>
      </c>
      <c r="G57" s="6" t="inlineStr">
        <is>
          <t>Jun 01</t>
        </is>
      </c>
      <c r="H57" s="6" t="inlineStr">
        <is>
          <t>Jun 17</t>
        </is>
      </c>
      <c r="I57" s="9" t="n">
        <v>0.0818786938731008</v>
      </c>
      <c r="J57" s="10">
        <f>Assumptions!$D$15*I57</f>
        <v/>
      </c>
      <c r="K57" s="10">
        <f>IF(J57&gt;0,E57/J57,999)</f>
        <v/>
      </c>
      <c r="L57" s="15" t="inlineStr">
        <is>
          <t>MISSING</t>
        </is>
      </c>
      <c r="M57" s="6" t="n">
        <v>60</v>
      </c>
      <c r="N57" s="12">
        <f>M57*Assumptions!$E$15</f>
        <v/>
      </c>
    </row>
    <row r="58">
      <c r="A58" s="6" t="inlineStr">
        <is>
          <t>SP 75</t>
        </is>
      </c>
      <c r="B58" s="6" t="n">
        <v>80</v>
      </c>
      <c r="C58" s="6" t="n">
        <v>5</v>
      </c>
      <c r="D58" s="6" t="n">
        <v>135</v>
      </c>
      <c r="E58" s="6">
        <f>C58+D58</f>
        <v/>
      </c>
      <c r="F58" s="6" t="n">
        <v>5</v>
      </c>
      <c r="G58" s="6" t="inlineStr">
        <is>
          <t>Jan 07</t>
        </is>
      </c>
      <c r="H58" s="6" t="inlineStr">
        <is>
          <t>Jun 17</t>
        </is>
      </c>
      <c r="I58" s="9" t="n">
        <v>0.2114098785198231</v>
      </c>
      <c r="J58" s="10">
        <f>Assumptions!$D$15*I58</f>
        <v/>
      </c>
      <c r="K58" s="10">
        <f>IF(J58&gt;0,E58/J58,999)</f>
        <v/>
      </c>
      <c r="L58" s="14" t="inlineStr">
        <is>
          <t>Tight</t>
        </is>
      </c>
      <c r="M58" s="6" t="n">
        <v>105</v>
      </c>
      <c r="N58" s="12">
        <f>M58*Assumptions!$E$15</f>
        <v/>
      </c>
    </row>
    <row r="59">
      <c r="A59" s="6" t="inlineStr">
        <is>
          <t>SP 75</t>
        </is>
      </c>
      <c r="B59" s="6" t="n">
        <v>100</v>
      </c>
      <c r="C59" s="6" t="n">
        <v>10</v>
      </c>
      <c r="D59" s="6" t="n">
        <v>17</v>
      </c>
      <c r="E59" s="6">
        <f>C59+D59</f>
        <v/>
      </c>
      <c r="F59" s="6" t="n">
        <v>4</v>
      </c>
      <c r="G59" s="6" t="inlineStr">
        <is>
          <t>Jan 07</t>
        </is>
      </c>
      <c r="H59" s="6" t="inlineStr">
        <is>
          <t>Jun 17</t>
        </is>
      </c>
      <c r="I59" s="9" t="n">
        <v>0.08304015179815784</v>
      </c>
      <c r="J59" s="10">
        <f>Assumptions!$D$15*I59</f>
        <v/>
      </c>
      <c r="K59" s="10">
        <f>IF(J59&gt;0,E59/J59,999)</f>
        <v/>
      </c>
      <c r="L59" s="15" t="inlineStr">
        <is>
          <t>MISSING</t>
        </is>
      </c>
      <c r="M59" s="6" t="n">
        <v>70</v>
      </c>
      <c r="N59" s="12">
        <f>M59*Assumptions!$E$15</f>
        <v/>
      </c>
    </row>
    <row r="60">
      <c r="A60" s="6" t="inlineStr">
        <is>
          <t>SP 90</t>
        </is>
      </c>
      <c r="B60" s="6" t="n">
        <v>7.5</v>
      </c>
      <c r="C60" s="6" t="n">
        <v>5</v>
      </c>
      <c r="D60" s="6" t="n">
        <v>0</v>
      </c>
      <c r="E60" s="6">
        <f>C60+D60</f>
        <v/>
      </c>
      <c r="F60" s="6" t="n">
        <v>1</v>
      </c>
      <c r="G60" s="6" t="inlineStr">
        <is>
          <t>Mar 02</t>
        </is>
      </c>
      <c r="H60" s="6" t="inlineStr">
        <is>
          <t>Mar 02</t>
        </is>
      </c>
      <c r="I60" s="9" t="n">
        <v>0.01147911985823346</v>
      </c>
      <c r="J60" s="10">
        <f>Assumptions!$D$16*I60</f>
        <v/>
      </c>
      <c r="K60" s="10">
        <f>IF(J60&gt;0,E60/J60,999)</f>
        <v/>
      </c>
      <c r="L60" s="13" t="inlineStr">
        <is>
          <t>One-off</t>
        </is>
      </c>
      <c r="M60" s="6" t="n">
        <v>0</v>
      </c>
      <c r="N60" s="12">
        <f>M60*Assumptions!$E$16</f>
        <v/>
      </c>
    </row>
    <row r="61">
      <c r="A61" s="6" t="inlineStr">
        <is>
          <t>SP 90</t>
        </is>
      </c>
      <c r="B61" s="6" t="n">
        <v>10</v>
      </c>
      <c r="C61" s="6" t="n">
        <v>18</v>
      </c>
      <c r="D61" s="6" t="n">
        <v>61</v>
      </c>
      <c r="E61" s="6">
        <f>C61+D61</f>
        <v/>
      </c>
      <c r="F61" s="6" t="n">
        <v>7</v>
      </c>
      <c r="G61" s="6" t="inlineStr">
        <is>
          <t>Jan 07</t>
        </is>
      </c>
      <c r="H61" s="6" t="inlineStr">
        <is>
          <t>Jun 17</t>
        </is>
      </c>
      <c r="I61" s="9" t="n">
        <v>0.1207219255760845</v>
      </c>
      <c r="J61" s="10">
        <f>Assumptions!$D$16*I61</f>
        <v/>
      </c>
      <c r="K61" s="10">
        <f>IF(J61&gt;0,E61/J61,999)</f>
        <v/>
      </c>
      <c r="L61" s="11" t="inlineStr">
        <is>
          <t>Balanced</t>
        </is>
      </c>
      <c r="M61" s="6" t="n">
        <v>25</v>
      </c>
      <c r="N61" s="12">
        <f>M61*Assumptions!$E$16</f>
        <v/>
      </c>
    </row>
    <row r="62">
      <c r="A62" s="6" t="inlineStr">
        <is>
          <t>SP 90</t>
        </is>
      </c>
      <c r="B62" s="6" t="n">
        <v>15</v>
      </c>
      <c r="C62" s="6" t="n">
        <v>11</v>
      </c>
      <c r="D62" s="6" t="n">
        <v>15</v>
      </c>
      <c r="E62" s="6">
        <f>C62+D62</f>
        <v/>
      </c>
      <c r="F62" s="6" t="n">
        <v>4</v>
      </c>
      <c r="G62" s="6" t="inlineStr">
        <is>
          <t>Jan 07</t>
        </is>
      </c>
      <c r="H62" s="6" t="inlineStr">
        <is>
          <t>May 08</t>
        </is>
      </c>
      <c r="I62" s="9" t="n">
        <v>0.05235284145650116</v>
      </c>
      <c r="J62" s="10">
        <f>Assumptions!$D$16*I62</f>
        <v/>
      </c>
      <c r="K62" s="10">
        <f>IF(J62&gt;0,E62/J62,999)</f>
        <v/>
      </c>
      <c r="L62" s="14" t="inlineStr">
        <is>
          <t>Tight</t>
        </is>
      </c>
      <c r="M62" s="6" t="n">
        <v>20</v>
      </c>
      <c r="N62" s="12">
        <f>M62*Assumptions!$E$16</f>
        <v/>
      </c>
    </row>
    <row r="63">
      <c r="A63" s="6" t="inlineStr">
        <is>
          <t>SP 90</t>
        </is>
      </c>
      <c r="B63" s="6" t="n">
        <v>20</v>
      </c>
      <c r="C63" s="6" t="n">
        <v>50</v>
      </c>
      <c r="D63" s="6" t="n">
        <v>98</v>
      </c>
      <c r="E63" s="6">
        <f>C63+D63</f>
        <v/>
      </c>
      <c r="F63" s="6" t="n">
        <v>6</v>
      </c>
      <c r="G63" s="6" t="inlineStr">
        <is>
          <t>Jan 07</t>
        </is>
      </c>
      <c r="H63" s="6" t="inlineStr">
        <is>
          <t>Jun 17</t>
        </is>
      </c>
      <c r="I63" s="9" t="n">
        <v>0.1529783848359529</v>
      </c>
      <c r="J63" s="10">
        <f>Assumptions!$D$16*I63</f>
        <v/>
      </c>
      <c r="K63" s="10">
        <f>IF(J63&gt;0,E63/J63,999)</f>
        <v/>
      </c>
      <c r="L63" s="11" t="inlineStr">
        <is>
          <t>Balanced</t>
        </is>
      </c>
      <c r="M63" s="6" t="n">
        <v>0</v>
      </c>
      <c r="N63" s="12">
        <f>M63*Assumptions!$E$16</f>
        <v/>
      </c>
    </row>
    <row r="64">
      <c r="A64" s="6" t="inlineStr">
        <is>
          <t>SP 90</t>
        </is>
      </c>
      <c r="B64" s="6" t="n">
        <v>25</v>
      </c>
      <c r="C64" s="6" t="n">
        <v>15</v>
      </c>
      <c r="D64" s="6" t="n">
        <v>39</v>
      </c>
      <c r="E64" s="6">
        <f>C64+D64</f>
        <v/>
      </c>
      <c r="F64" s="6" t="n">
        <v>5</v>
      </c>
      <c r="G64" s="6" t="inlineStr">
        <is>
          <t>Mar 02</t>
        </is>
      </c>
      <c r="H64" s="6" t="inlineStr">
        <is>
          <t>Jun 17</t>
        </is>
      </c>
      <c r="I64" s="9" t="n">
        <v>0.08435395904676465</v>
      </c>
      <c r="J64" s="10">
        <f>Assumptions!$D$16*I64</f>
        <v/>
      </c>
      <c r="K64" s="10">
        <f>IF(J64&gt;0,E64/J64,999)</f>
        <v/>
      </c>
      <c r="L64" s="11" t="inlineStr">
        <is>
          <t>Balanced</t>
        </is>
      </c>
      <c r="M64" s="6" t="n">
        <v>20</v>
      </c>
      <c r="N64" s="12">
        <f>M64*Assumptions!$E$16</f>
        <v/>
      </c>
    </row>
    <row r="65">
      <c r="A65" s="6" t="inlineStr">
        <is>
          <t>SP 90</t>
        </is>
      </c>
      <c r="B65" s="6" t="n">
        <v>30</v>
      </c>
      <c r="C65" s="6" t="n">
        <v>65</v>
      </c>
      <c r="D65" s="6" t="n">
        <v>123</v>
      </c>
      <c r="E65" s="6">
        <f>C65+D65</f>
        <v/>
      </c>
      <c r="F65" s="6" t="n">
        <v>7</v>
      </c>
      <c r="G65" s="6" t="inlineStr">
        <is>
          <t>Jan 07</t>
        </is>
      </c>
      <c r="H65" s="6" t="inlineStr">
        <is>
          <t>Jun 17</t>
        </is>
      </c>
      <c r="I65" s="9" t="n">
        <v>0.1862308103505495</v>
      </c>
      <c r="J65" s="10">
        <f>Assumptions!$D$16*I65</f>
        <v/>
      </c>
      <c r="K65" s="10">
        <f>IF(J65&gt;0,E65/J65,999)</f>
        <v/>
      </c>
      <c r="L65" s="11" t="inlineStr">
        <is>
          <t>Balanced</t>
        </is>
      </c>
      <c r="M65" s="6" t="n">
        <v>0</v>
      </c>
      <c r="N65" s="12">
        <f>M65*Assumptions!$E$16</f>
        <v/>
      </c>
    </row>
    <row r="66">
      <c r="A66" s="6" t="inlineStr">
        <is>
          <t>SP 90</t>
        </is>
      </c>
      <c r="B66" s="6" t="n">
        <v>40</v>
      </c>
      <c r="C66" s="6" t="n">
        <v>55</v>
      </c>
      <c r="D66" s="6" t="n">
        <v>547</v>
      </c>
      <c r="E66" s="6">
        <f>C66+D66</f>
        <v/>
      </c>
      <c r="F66" s="6" t="n">
        <v>6</v>
      </c>
      <c r="G66" s="6" t="inlineStr">
        <is>
          <t>Dec 26+</t>
        </is>
      </c>
      <c r="H66" s="6" t="inlineStr">
        <is>
          <t>Jun 17</t>
        </is>
      </c>
      <c r="I66" s="9" t="n">
        <v>0.3085300426550126</v>
      </c>
      <c r="J66" s="10">
        <f>Assumptions!$D$16*I66</f>
        <v/>
      </c>
      <c r="K66" s="10">
        <f>IF(J66&gt;0,E66/J66,999)</f>
        <v/>
      </c>
      <c r="L66" s="16" t="inlineStr">
        <is>
          <t>Heavy</t>
        </is>
      </c>
      <c r="M66" s="6" t="n">
        <v>0</v>
      </c>
      <c r="N66" s="12">
        <f>M66*Assumptions!$E$16</f>
        <v/>
      </c>
    </row>
    <row r="67">
      <c r="A67" s="6" t="inlineStr">
        <is>
          <t>SP 90</t>
        </is>
      </c>
      <c r="B67" s="6" t="n">
        <v>50</v>
      </c>
      <c r="C67" s="6" t="n">
        <v>0</v>
      </c>
      <c r="D67" s="6" t="n">
        <v>26</v>
      </c>
      <c r="E67" s="6">
        <f>C67+D67</f>
        <v/>
      </c>
      <c r="F67" s="6" t="n">
        <v>3</v>
      </c>
      <c r="G67" s="6" t="inlineStr">
        <is>
          <t>Jun 01</t>
        </is>
      </c>
      <c r="H67" s="6" t="inlineStr">
        <is>
          <t>Jun 17</t>
        </is>
      </c>
      <c r="I67" s="9" t="n">
        <v>0.04533889066162913</v>
      </c>
      <c r="J67" s="10">
        <f>Assumptions!$D$16*I67</f>
        <v/>
      </c>
      <c r="K67" s="10">
        <f>IF(J67&gt;0,E67/J67,999)</f>
        <v/>
      </c>
      <c r="L67" s="11" t="inlineStr">
        <is>
          <t>Balanced</t>
        </is>
      </c>
      <c r="M67" s="6" t="n">
        <v>15</v>
      </c>
      <c r="N67" s="12">
        <f>M67*Assumptions!$E$16</f>
        <v/>
      </c>
    </row>
    <row r="68">
      <c r="A68" s="6" t="inlineStr">
        <is>
          <t>SP 90</t>
        </is>
      </c>
      <c r="B68" s="6" t="n">
        <v>60</v>
      </c>
      <c r="C68" s="6" t="n">
        <v>0</v>
      </c>
      <c r="D68" s="6" t="n">
        <v>10</v>
      </c>
      <c r="E68" s="6">
        <f>C68+D68</f>
        <v/>
      </c>
      <c r="F68" s="6" t="n">
        <v>1</v>
      </c>
      <c r="G68" s="6" t="inlineStr">
        <is>
          <t>Jun 01</t>
        </is>
      </c>
      <c r="H68" s="6" t="inlineStr">
        <is>
          <t>Jun 01</t>
        </is>
      </c>
      <c r="I68" s="9" t="n">
        <v>0.01623392698762008</v>
      </c>
      <c r="J68" s="10">
        <f>Assumptions!$D$16*I68</f>
        <v/>
      </c>
      <c r="K68" s="10">
        <f>IF(J68&gt;0,E68/J68,999)</f>
        <v/>
      </c>
      <c r="L68" s="13" t="inlineStr">
        <is>
          <t>One-off</t>
        </is>
      </c>
      <c r="M68" s="6" t="n">
        <v>0</v>
      </c>
      <c r="N68" s="12">
        <f>M68*Assumptions!$E$16</f>
        <v/>
      </c>
    </row>
    <row r="69">
      <c r="A69" s="6" t="inlineStr">
        <is>
          <t>SP 90</t>
        </is>
      </c>
      <c r="B69" s="6" t="n">
        <v>80</v>
      </c>
      <c r="C69" s="6" t="n">
        <v>5</v>
      </c>
      <c r="D69" s="6" t="n">
        <v>4</v>
      </c>
      <c r="E69" s="6">
        <f>C69+D69</f>
        <v/>
      </c>
      <c r="F69" s="6" t="n">
        <v>2</v>
      </c>
      <c r="G69" s="6" t="inlineStr">
        <is>
          <t>Mar 02</t>
        </is>
      </c>
      <c r="H69" s="6" t="inlineStr">
        <is>
          <t>Jun 17</t>
        </is>
      </c>
      <c r="I69" s="9" t="n">
        <v>0.02178009857165213</v>
      </c>
      <c r="J69" s="10">
        <f>Assumptions!$D$16*I69</f>
        <v/>
      </c>
      <c r="K69" s="10">
        <f>IF(J69&gt;0,E69/J69,999)</f>
        <v/>
      </c>
      <c r="L69" s="14" t="inlineStr">
        <is>
          <t>Tight</t>
        </is>
      </c>
      <c r="M69" s="6" t="n">
        <v>10</v>
      </c>
      <c r="N69" s="12">
        <f>M69*Assumptions!$E$16</f>
        <v/>
      </c>
    </row>
    <row r="70">
      <c r="A70" s="6" t="inlineStr">
        <is>
          <t>SP 110</t>
        </is>
      </c>
      <c r="B70" s="6" t="n">
        <v>7.5</v>
      </c>
      <c r="C70" s="6" t="n">
        <v>10</v>
      </c>
      <c r="D70" s="6" t="n">
        <v>0</v>
      </c>
      <c r="E70" s="6">
        <f>C70+D70</f>
        <v/>
      </c>
      <c r="F70" s="6" t="n">
        <v>2</v>
      </c>
      <c r="G70" s="6" t="inlineStr">
        <is>
          <t>Dec 30</t>
        </is>
      </c>
      <c r="H70" s="6" t="inlineStr">
        <is>
          <t>Jan 07</t>
        </is>
      </c>
      <c r="I70" s="9" t="n">
        <v>0.06800021034579047</v>
      </c>
      <c r="J70" s="10">
        <f>Assumptions!$D$17*I70</f>
        <v/>
      </c>
      <c r="K70" s="10">
        <f>IF(J70&gt;0,E70/J70,999)</f>
        <v/>
      </c>
      <c r="L70" s="15" t="inlineStr">
        <is>
          <t>MISSING</t>
        </is>
      </c>
      <c r="M70" s="6" t="n">
        <v>30</v>
      </c>
      <c r="N70" s="12">
        <f>M70*Assumptions!$E$17</f>
        <v/>
      </c>
    </row>
    <row r="71">
      <c r="A71" s="6" t="inlineStr">
        <is>
          <t>SP 110</t>
        </is>
      </c>
      <c r="B71" s="6" t="n">
        <v>15</v>
      </c>
      <c r="C71" s="6" t="n">
        <v>3</v>
      </c>
      <c r="D71" s="6" t="n">
        <v>0</v>
      </c>
      <c r="E71" s="6">
        <f>C71+D71</f>
        <v/>
      </c>
      <c r="F71" s="6" t="n">
        <v>1</v>
      </c>
      <c r="G71" s="6" t="inlineStr">
        <is>
          <t>Mar 02</t>
        </is>
      </c>
      <c r="H71" s="6" t="inlineStr">
        <is>
          <t>Mar 02</t>
        </is>
      </c>
      <c r="I71" s="9" t="n">
        <v>0.02633636822078477</v>
      </c>
      <c r="J71" s="10">
        <f>Assumptions!$D$17*I71</f>
        <v/>
      </c>
      <c r="K71" s="10">
        <f>IF(J71&gt;0,E71/J71,999)</f>
        <v/>
      </c>
      <c r="L71" s="13" t="inlineStr">
        <is>
          <t>One-off</t>
        </is>
      </c>
      <c r="M71" s="6" t="n">
        <v>0</v>
      </c>
      <c r="N71" s="12">
        <f>M71*Assumptions!$E$17</f>
        <v/>
      </c>
    </row>
    <row r="72">
      <c r="A72" s="6" t="inlineStr">
        <is>
          <t>SP 110</t>
        </is>
      </c>
      <c r="B72" s="6" t="n">
        <v>20</v>
      </c>
      <c r="C72" s="6" t="n">
        <v>40</v>
      </c>
      <c r="D72" s="6" t="n">
        <v>0</v>
      </c>
      <c r="E72" s="6">
        <f>C72+D72</f>
        <v/>
      </c>
      <c r="F72" s="6" t="n">
        <v>2</v>
      </c>
      <c r="G72" s="6" t="inlineStr">
        <is>
          <t>Dec 30</t>
        </is>
      </c>
      <c r="H72" s="6" t="inlineStr">
        <is>
          <t>Jan 07</t>
        </is>
      </c>
      <c r="I72" s="9" t="n">
        <v>0.1360004206915809</v>
      </c>
      <c r="J72" s="10">
        <f>Assumptions!$D$17*I72</f>
        <v/>
      </c>
      <c r="K72" s="10">
        <f>IF(J72&gt;0,E72/J72,999)</f>
        <v/>
      </c>
      <c r="L72" s="14" t="inlineStr">
        <is>
          <t>Tight</t>
        </is>
      </c>
      <c r="M72" s="6" t="n">
        <v>40</v>
      </c>
      <c r="N72" s="12">
        <f>M72*Assumptions!$E$17</f>
        <v/>
      </c>
    </row>
    <row r="73">
      <c r="A73" s="6" t="inlineStr">
        <is>
          <t>SP 110</t>
        </is>
      </c>
      <c r="B73" s="6" t="n">
        <v>25</v>
      </c>
      <c r="C73" s="6" t="n">
        <v>6</v>
      </c>
      <c r="D73" s="6" t="n">
        <v>0</v>
      </c>
      <c r="E73" s="6">
        <f>C73+D73</f>
        <v/>
      </c>
      <c r="F73" s="6" t="n">
        <v>1</v>
      </c>
      <c r="G73" s="6" t="inlineStr">
        <is>
          <t>Jan 07</t>
        </is>
      </c>
      <c r="H73" s="6" t="inlineStr">
        <is>
          <t>Jan 07</t>
        </is>
      </c>
      <c r="I73" s="9" t="n">
        <v>0.03724524912148561</v>
      </c>
      <c r="J73" s="10">
        <f>Assumptions!$D$17*I73</f>
        <v/>
      </c>
      <c r="K73" s="10">
        <f>IF(J73&gt;0,E73/J73,999)</f>
        <v/>
      </c>
      <c r="L73" s="13" t="inlineStr">
        <is>
          <t>One-off</t>
        </is>
      </c>
      <c r="M73" s="6" t="n">
        <v>0</v>
      </c>
      <c r="N73" s="12">
        <f>M73*Assumptions!$E$17</f>
        <v/>
      </c>
    </row>
    <row r="74">
      <c r="A74" s="6" t="inlineStr">
        <is>
          <t>SP 110</t>
        </is>
      </c>
      <c r="B74" s="6" t="n">
        <v>30</v>
      </c>
      <c r="C74" s="6" t="n">
        <v>5</v>
      </c>
      <c r="D74" s="6" t="n">
        <v>2</v>
      </c>
      <c r="E74" s="6">
        <f>C74+D74</f>
        <v/>
      </c>
      <c r="F74" s="6" t="n">
        <v>2</v>
      </c>
      <c r="G74" s="6" t="inlineStr">
        <is>
          <t>Mar 02</t>
        </is>
      </c>
      <c r="H74" s="6" t="inlineStr">
        <is>
          <t>May 08</t>
        </is>
      </c>
      <c r="I74" s="9" t="n">
        <v>0.05689305779223176</v>
      </c>
      <c r="J74" s="10">
        <f>Assumptions!$D$17*I74</f>
        <v/>
      </c>
      <c r="K74" s="10">
        <f>IF(J74&gt;0,E74/J74,999)</f>
        <v/>
      </c>
      <c r="L74" s="15" t="inlineStr">
        <is>
          <t>MISSING</t>
        </is>
      </c>
      <c r="M74" s="6" t="n">
        <v>30</v>
      </c>
      <c r="N74" s="12">
        <f>M74*Assumptions!$E$17</f>
        <v/>
      </c>
    </row>
    <row r="75">
      <c r="A75" s="6" t="inlineStr">
        <is>
          <t>SP 110</t>
        </is>
      </c>
      <c r="B75" s="6" t="n">
        <v>40</v>
      </c>
      <c r="C75" s="6" t="n">
        <v>192</v>
      </c>
      <c r="D75" s="6" t="n">
        <v>45</v>
      </c>
      <c r="E75" s="6">
        <f>C75+D75</f>
        <v/>
      </c>
      <c r="F75" s="6" t="n">
        <v>4</v>
      </c>
      <c r="G75" s="6" t="inlineStr">
        <is>
          <t>Dec 26+</t>
        </is>
      </c>
      <c r="H75" s="6" t="inlineStr">
        <is>
          <t>Jun 17</t>
        </is>
      </c>
      <c r="I75" s="9" t="n">
        <v>0.4681655219846938</v>
      </c>
      <c r="J75" s="10">
        <f>Assumptions!$D$17*I75</f>
        <v/>
      </c>
      <c r="K75" s="10">
        <f>IF(J75&gt;0,E75/J75,999)</f>
        <v/>
      </c>
      <c r="L75" s="11" t="inlineStr">
        <is>
          <t>Balanced</t>
        </is>
      </c>
      <c r="M75" s="6" t="n">
        <v>30</v>
      </c>
      <c r="N75" s="12">
        <f>M75*Assumptions!$E$17</f>
        <v/>
      </c>
    </row>
    <row r="76">
      <c r="A76" s="6" t="inlineStr">
        <is>
          <t>SP 110</t>
        </is>
      </c>
      <c r="B76" s="6" t="n">
        <v>60</v>
      </c>
      <c r="C76" s="6" t="n">
        <v>5</v>
      </c>
      <c r="D76" s="6" t="n">
        <v>16</v>
      </c>
      <c r="E76" s="6">
        <f>C76+D76</f>
        <v/>
      </c>
      <c r="F76" s="6" t="n">
        <v>4</v>
      </c>
      <c r="G76" s="6" t="inlineStr">
        <is>
          <t>Mar 02</t>
        </is>
      </c>
      <c r="H76" s="6" t="inlineStr">
        <is>
          <t>Jun 17</t>
        </is>
      </c>
      <c r="I76" s="9" t="n">
        <v>0.1393589614976423</v>
      </c>
      <c r="J76" s="10">
        <f>Assumptions!$D$17*I76</f>
        <v/>
      </c>
      <c r="K76" s="10">
        <f>IF(J76&gt;0,E76/J76,999)</f>
        <v/>
      </c>
      <c r="L76" s="15" t="inlineStr">
        <is>
          <t>MISSING</t>
        </is>
      </c>
      <c r="M76" s="6" t="n">
        <v>60</v>
      </c>
      <c r="N76" s="12">
        <f>M76*Assumptions!$E$17</f>
        <v/>
      </c>
    </row>
    <row r="77">
      <c r="A77" s="6" t="inlineStr">
        <is>
          <t>SP 110</t>
        </is>
      </c>
      <c r="B77" s="6" t="n">
        <v>80</v>
      </c>
      <c r="C77" s="6" t="n">
        <v>5</v>
      </c>
      <c r="D77" s="6" t="n">
        <v>0</v>
      </c>
      <c r="E77" s="6">
        <f>C77+D77</f>
        <v/>
      </c>
      <c r="F77" s="6" t="n">
        <v>1</v>
      </c>
      <c r="G77" s="6" t="inlineStr">
        <is>
          <t>Mar 02</t>
        </is>
      </c>
      <c r="H77" s="6" t="inlineStr">
        <is>
          <t>Mar 02</t>
        </is>
      </c>
      <c r="I77" s="9" t="n">
        <v>0.03400010517289524</v>
      </c>
      <c r="J77" s="10">
        <f>Assumptions!$D$17*I77</f>
        <v/>
      </c>
      <c r="K77" s="10">
        <f>IF(J77&gt;0,E77/J77,999)</f>
        <v/>
      </c>
      <c r="L77" s="13" t="inlineStr">
        <is>
          <t>One-off</t>
        </is>
      </c>
      <c r="M77" s="6" t="n">
        <v>0</v>
      </c>
      <c r="N77" s="12">
        <f>M77*Assumptions!$E$17</f>
        <v/>
      </c>
    </row>
    <row r="78">
      <c r="A78" s="6" t="inlineStr">
        <is>
          <t>SP 110</t>
        </is>
      </c>
      <c r="B78" s="6" t="n">
        <v>100</v>
      </c>
      <c r="C78" s="6" t="n">
        <v>5</v>
      </c>
      <c r="D78" s="6" t="n">
        <v>0</v>
      </c>
      <c r="E78" s="6">
        <f>C78+D78</f>
        <v/>
      </c>
      <c r="F78" s="6" t="n">
        <v>1</v>
      </c>
      <c r="G78" s="6" t="inlineStr">
        <is>
          <t>Mar 02</t>
        </is>
      </c>
      <c r="H78" s="6" t="inlineStr">
        <is>
          <t>Mar 02</t>
        </is>
      </c>
      <c r="I78" s="9" t="n">
        <v>0.03400010517289524</v>
      </c>
      <c r="J78" s="10">
        <f>Assumptions!$D$17*I78</f>
        <v/>
      </c>
      <c r="K78" s="10">
        <f>IF(J78&gt;0,E78/J78,999)</f>
        <v/>
      </c>
      <c r="L78" s="13" t="inlineStr">
        <is>
          <t>One-off</t>
        </is>
      </c>
      <c r="M78" s="6" t="n">
        <v>0</v>
      </c>
      <c r="N78" s="12">
        <f>M78*Assumptions!$E$17</f>
        <v/>
      </c>
    </row>
    <row r="79">
      <c r="A79" s="6" t="inlineStr">
        <is>
          <t>SP 130</t>
        </is>
      </c>
      <c r="B79" s="6" t="n">
        <v>15</v>
      </c>
      <c r="C79" s="6" t="n">
        <v>15</v>
      </c>
      <c r="D79" s="6" t="n">
        <v>4</v>
      </c>
      <c r="E79" s="6">
        <f>C79+D79</f>
        <v/>
      </c>
      <c r="F79" s="6" t="n">
        <v>5</v>
      </c>
      <c r="G79" s="6" t="inlineStr">
        <is>
          <t>Dec 30</t>
        </is>
      </c>
      <c r="H79" s="6" t="inlineStr">
        <is>
          <t>Jun 17</t>
        </is>
      </c>
      <c r="I79" s="9" t="n">
        <v>0.2123490990787571</v>
      </c>
      <c r="J79" s="10">
        <f>Assumptions!$D$18*I79</f>
        <v/>
      </c>
      <c r="K79" s="10">
        <f>IF(J79&gt;0,E79/J79,999)</f>
        <v/>
      </c>
      <c r="L79" s="15" t="inlineStr">
        <is>
          <t>MISSING</t>
        </is>
      </c>
      <c r="M79" s="6" t="n">
        <v>95</v>
      </c>
      <c r="N79" s="12">
        <f>M79*Assumptions!$E$18</f>
        <v/>
      </c>
    </row>
    <row r="80">
      <c r="A80" s="6" t="inlineStr">
        <is>
          <t>SP 130</t>
        </is>
      </c>
      <c r="B80" s="6" t="n">
        <v>30</v>
      </c>
      <c r="C80" s="6" t="n">
        <v>3</v>
      </c>
      <c r="D80" s="6" t="n">
        <v>0</v>
      </c>
      <c r="E80" s="6">
        <f>C80+D80</f>
        <v/>
      </c>
      <c r="F80" s="6" t="n">
        <v>1</v>
      </c>
      <c r="G80" s="6" t="inlineStr">
        <is>
          <t>Mar 02</t>
        </is>
      </c>
      <c r="H80" s="6" t="inlineStr">
        <is>
          <t>Mar 02</t>
        </is>
      </c>
      <c r="I80" s="9" t="n">
        <v>0.03773542515973682</v>
      </c>
      <c r="J80" s="10">
        <f>Assumptions!$D$18*I80</f>
        <v/>
      </c>
      <c r="K80" s="10">
        <f>IF(J80&gt;0,E80/J80,999)</f>
        <v/>
      </c>
      <c r="L80" s="13" t="inlineStr">
        <is>
          <t>One-off</t>
        </is>
      </c>
      <c r="M80" s="6" t="n">
        <v>0</v>
      </c>
      <c r="N80" s="12">
        <f>M80*Assumptions!$E$18</f>
        <v/>
      </c>
    </row>
    <row r="81">
      <c r="A81" s="6" t="inlineStr">
        <is>
          <t>SP 130</t>
        </is>
      </c>
      <c r="B81" s="6" t="n">
        <v>40</v>
      </c>
      <c r="C81" s="6" t="n">
        <v>254</v>
      </c>
      <c r="D81" s="6" t="n">
        <v>2</v>
      </c>
      <c r="E81" s="6">
        <f>C81+D81</f>
        <v/>
      </c>
      <c r="F81" s="6" t="n">
        <v>3</v>
      </c>
      <c r="G81" s="6" t="inlineStr">
        <is>
          <t>Jan 07</t>
        </is>
      </c>
      <c r="H81" s="6" t="inlineStr">
        <is>
          <t>Jun 17</t>
        </is>
      </c>
      <c r="I81" s="9" t="n">
        <v>0.6037668025557891</v>
      </c>
      <c r="J81" s="10">
        <f>Assumptions!$D$18*I81</f>
        <v/>
      </c>
      <c r="K81" s="10">
        <f>IF(J81&gt;0,E81/J81,999)</f>
        <v/>
      </c>
      <c r="L81" s="11" t="inlineStr">
        <is>
          <t>Balanced</t>
        </is>
      </c>
      <c r="M81" s="6" t="n">
        <v>60</v>
      </c>
      <c r="N81" s="12">
        <f>M81*Assumptions!$E$18</f>
        <v/>
      </c>
    </row>
    <row r="82">
      <c r="A82" s="6" t="inlineStr">
        <is>
          <t>SP 130</t>
        </is>
      </c>
      <c r="B82" s="6" t="n">
        <v>50</v>
      </c>
      <c r="C82" s="6" t="n">
        <v>14</v>
      </c>
      <c r="D82" s="6" t="n">
        <v>1</v>
      </c>
      <c r="E82" s="6">
        <f>C82+D82</f>
        <v/>
      </c>
      <c r="F82" s="6" t="n">
        <v>3</v>
      </c>
      <c r="G82" s="6" t="inlineStr">
        <is>
          <t>Jan 07</t>
        </is>
      </c>
      <c r="H82" s="6" t="inlineStr">
        <is>
          <t>Jun 17</t>
        </is>
      </c>
      <c r="I82" s="9" t="n">
        <v>0.146148673205717</v>
      </c>
      <c r="J82" s="10">
        <f>Assumptions!$D$18*I82</f>
        <v/>
      </c>
      <c r="K82" s="10">
        <f>IF(J82&gt;0,E82/J82,999)</f>
        <v/>
      </c>
      <c r="L82" s="15" t="inlineStr">
        <is>
          <t>MISSING</t>
        </is>
      </c>
      <c r="M82" s="6" t="n">
        <v>65</v>
      </c>
      <c r="N82" s="12">
        <f>M82*Assumptions!$E$18</f>
        <v/>
      </c>
    </row>
    <row r="83">
      <c r="A83" s="6" t="inlineStr">
        <is>
          <t>SP 150</t>
        </is>
      </c>
      <c r="B83" s="6" t="n">
        <v>15</v>
      </c>
      <c r="C83" s="6" t="n">
        <v>3</v>
      </c>
      <c r="D83" s="6" t="n">
        <v>0</v>
      </c>
      <c r="E83" s="6">
        <f>C83+D83</f>
        <v/>
      </c>
      <c r="F83" s="6" t="n">
        <v>1</v>
      </c>
      <c r="G83" s="6" t="inlineStr">
        <is>
          <t>May 08</t>
        </is>
      </c>
      <c r="H83" s="6" t="inlineStr">
        <is>
          <t>May 08</t>
        </is>
      </c>
      <c r="I83" s="9" t="n">
        <v>0.1014934617711857</v>
      </c>
      <c r="J83" s="10">
        <f>Assumptions!$D$19*I83</f>
        <v/>
      </c>
      <c r="K83" s="10">
        <f>IF(J83&gt;0,E83/J83,999)</f>
        <v/>
      </c>
      <c r="L83" s="11" t="inlineStr">
        <is>
          <t>Balanced</t>
        </is>
      </c>
      <c r="M83" s="6" t="n">
        <v>0</v>
      </c>
      <c r="N83" s="12">
        <f>M83*Assumptions!$E$19</f>
        <v/>
      </c>
    </row>
    <row r="84">
      <c r="A84" s="6" t="inlineStr">
        <is>
          <t>SP 150</t>
        </is>
      </c>
      <c r="B84" s="6" t="n">
        <v>40</v>
      </c>
      <c r="C84" s="6" t="n">
        <v>33</v>
      </c>
      <c r="D84" s="6" t="n">
        <v>50</v>
      </c>
      <c r="E84" s="6">
        <f>C84+D84</f>
        <v/>
      </c>
      <c r="F84" s="6" t="n">
        <v>2</v>
      </c>
      <c r="G84" s="6" t="inlineStr">
        <is>
          <t>Jan 07</t>
        </is>
      </c>
      <c r="H84" s="6" t="inlineStr">
        <is>
          <t>May 08</t>
        </is>
      </c>
      <c r="I84" s="9" t="n">
        <v>0.7549731080998083</v>
      </c>
      <c r="J84" s="10">
        <f>Assumptions!$D$19*I84</f>
        <v/>
      </c>
      <c r="K84" s="10">
        <f>IF(J84&gt;0,E84/J84,999)</f>
        <v/>
      </c>
      <c r="L84" s="16" t="inlineStr">
        <is>
          <t>Heavy</t>
        </is>
      </c>
      <c r="M84" s="6" t="n">
        <v>0</v>
      </c>
      <c r="N84" s="12">
        <f>M84*Assumptions!$E$19</f>
        <v/>
      </c>
    </row>
    <row r="85">
      <c r="A85" s="6" t="inlineStr">
        <is>
          <t>SP 150</t>
        </is>
      </c>
      <c r="B85" s="6" t="n">
        <v>50</v>
      </c>
      <c r="C85" s="6" t="n">
        <v>6</v>
      </c>
      <c r="D85" s="6" t="n">
        <v>0</v>
      </c>
      <c r="E85" s="6">
        <f>C85+D85</f>
        <v/>
      </c>
      <c r="F85" s="6" t="n">
        <v>1</v>
      </c>
      <c r="G85" s="6" t="inlineStr">
        <is>
          <t>Jan 07</t>
        </is>
      </c>
      <c r="H85" s="6" t="inlineStr">
        <is>
          <t>Jan 07</t>
        </is>
      </c>
      <c r="I85" s="9" t="n">
        <v>0.143533430129006</v>
      </c>
      <c r="J85" s="10">
        <f>Assumptions!$D$19*I85</f>
        <v/>
      </c>
      <c r="K85" s="10">
        <f>IF(J85&gt;0,E85/J85,999)</f>
        <v/>
      </c>
      <c r="L85" s="16" t="inlineStr">
        <is>
          <t>Heavy</t>
        </is>
      </c>
      <c r="M85" s="6" t="n">
        <v>0</v>
      </c>
      <c r="N85" s="12">
        <f>M85*Assumptions!$E$19</f>
        <v/>
      </c>
    </row>
    <row r="86">
      <c r="A86" s="17" t="inlineStr">
        <is>
          <t>TOTAL</t>
        </is>
      </c>
      <c r="C86" s="18">
        <f>SUM(C2:C85)</f>
        <v/>
      </c>
      <c r="D86" s="18">
        <f>SUM(D2:D85)</f>
        <v/>
      </c>
      <c r="E86" s="18">
        <f>SUM(E2:E85)</f>
        <v/>
      </c>
      <c r="M86" s="18">
        <f>SUM(M2:M85)</f>
        <v/>
      </c>
      <c r="N86" s="19">
        <f>SUM(N2:N85)</f>
        <v/>
      </c>
    </row>
  </sheetData>
  <autoFilter ref="A1:N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0" customWidth="1" min="4" max="4"/>
    <col width="9" customWidth="1" min="5" max="5"/>
    <col width="12" customWidth="1" min="6" max="6"/>
    <col width="14" customWidth="1" min="7" max="7"/>
    <col width="13" customWidth="1" min="8" max="8"/>
    <col width="11" customWidth="1" min="9" max="9"/>
    <col width="12" customWidth="1" min="10" max="10"/>
    <col width="11" customWidth="1" min="11" max="11"/>
  </cols>
  <sheetData>
    <row r="1">
      <c r="A1" s="8" t="inlineStr">
        <is>
          <t>Size</t>
        </is>
      </c>
      <c r="B1" s="8" t="inlineStr">
        <is>
          <t>PAM frame</t>
        </is>
      </c>
      <c r="C1" s="8" t="inlineStr">
        <is>
          <t>Mount</t>
        </is>
      </c>
      <c r="D1" s="8" t="inlineStr">
        <is>
          <t>In transit</t>
        </is>
      </c>
      <c r="E1" s="8" t="inlineStr">
        <is>
          <t>In mfg</t>
        </is>
      </c>
      <c r="F1" s="8" t="inlineStr">
        <is>
          <t>Total inbound</t>
        </is>
      </c>
      <c r="G1" s="8" t="inlineStr">
        <is>
          <t>Batches ordered</t>
        </is>
      </c>
      <c r="H1" s="8" t="inlineStr">
        <is>
          <t>Est. share of size</t>
        </is>
      </c>
      <c r="I1" s="8" t="inlineStr">
        <is>
          <t>Est. need /mo</t>
        </is>
      </c>
      <c r="J1" s="8" t="inlineStr">
        <is>
          <t>Cover (months)</t>
        </is>
      </c>
      <c r="K1" s="8" t="inlineStr">
        <is>
          <t>Verdict</t>
        </is>
      </c>
    </row>
    <row r="2">
      <c r="A2" s="6" t="inlineStr">
        <is>
          <t>SP 30</t>
        </is>
      </c>
      <c r="B2" s="6" t="n">
        <v>56</v>
      </c>
      <c r="C2" s="6" t="inlineStr">
        <is>
          <t>B14</t>
        </is>
      </c>
      <c r="D2" s="6" t="n">
        <v>250</v>
      </c>
      <c r="E2" s="6" t="n">
        <v>50</v>
      </c>
      <c r="F2" s="6">
        <f>D2+E2</f>
        <v/>
      </c>
      <c r="G2" s="6" t="n">
        <v>3</v>
      </c>
      <c r="H2" s="9" t="n">
        <v>0.2927629466956175</v>
      </c>
      <c r="I2" s="10">
        <f>Assumptions!$D$11*H2</f>
        <v/>
      </c>
      <c r="J2" s="10">
        <f>IF(I2&gt;0,F2/I2,999)</f>
        <v/>
      </c>
      <c r="K2" s="11" t="inlineStr">
        <is>
          <t>Balanced</t>
        </is>
      </c>
    </row>
    <row r="3">
      <c r="A3" s="6" t="inlineStr">
        <is>
          <t>SP 30</t>
        </is>
      </c>
      <c r="B3" s="6" t="n">
        <v>63</v>
      </c>
      <c r="C3" s="6" t="inlineStr">
        <is>
          <t>B14</t>
        </is>
      </c>
      <c r="D3" s="6" t="n">
        <v>285</v>
      </c>
      <c r="E3" s="6" t="n">
        <v>427</v>
      </c>
      <c r="F3" s="6">
        <f>D3+E3</f>
        <v/>
      </c>
      <c r="G3" s="6" t="n">
        <v>5</v>
      </c>
      <c r="H3" s="9" t="n">
        <v>0.5822638853171179</v>
      </c>
      <c r="I3" s="10">
        <f>Assumptions!$D$11*H3</f>
        <v/>
      </c>
      <c r="J3" s="10">
        <f>IF(I3&gt;0,F3/I3,999)</f>
        <v/>
      </c>
      <c r="K3" s="11" t="inlineStr">
        <is>
          <t>Balanced</t>
        </is>
      </c>
    </row>
    <row r="4">
      <c r="A4" s="6" t="inlineStr">
        <is>
          <t>SP 30</t>
        </is>
      </c>
      <c r="B4" s="6" t="n">
        <v>63</v>
      </c>
      <c r="C4" s="6" t="inlineStr">
        <is>
          <t>B5</t>
        </is>
      </c>
      <c r="D4" s="6" t="n">
        <v>25</v>
      </c>
      <c r="E4" s="6" t="n">
        <v>16</v>
      </c>
      <c r="F4" s="6">
        <f>D4+E4</f>
        <v/>
      </c>
      <c r="G4" s="6" t="n">
        <v>4</v>
      </c>
      <c r="H4" s="9" t="n">
        <v>0.1249731679872646</v>
      </c>
      <c r="I4" s="10">
        <f>Assumptions!$D$11*H4</f>
        <v/>
      </c>
      <c r="J4" s="10">
        <f>IF(I4&gt;0,F4/I4,999)</f>
        <v/>
      </c>
      <c r="K4" s="15" t="inlineStr">
        <is>
          <t>MISSING</t>
        </is>
      </c>
    </row>
    <row r="5">
      <c r="A5" s="6" t="inlineStr">
        <is>
          <t>SP 40</t>
        </is>
      </c>
      <c r="B5" s="6" t="n">
        <v>63</v>
      </c>
      <c r="C5" s="6" t="inlineStr">
        <is>
          <t>B14</t>
        </is>
      </c>
      <c r="D5" s="6" t="n">
        <v>154</v>
      </c>
      <c r="E5" s="6" t="n">
        <v>360</v>
      </c>
      <c r="F5" s="6">
        <f>D5+E5</f>
        <v/>
      </c>
      <c r="G5" s="6" t="n">
        <v>8</v>
      </c>
      <c r="H5" s="9" t="n">
        <v>0.3925248273143657</v>
      </c>
      <c r="I5" s="10">
        <f>Assumptions!$D$12*H5</f>
        <v/>
      </c>
      <c r="J5" s="10">
        <f>IF(I5&gt;0,F5/I5,999)</f>
        <v/>
      </c>
      <c r="K5" s="15" t="inlineStr">
        <is>
          <t>MISSING</t>
        </is>
      </c>
    </row>
    <row r="6">
      <c r="A6" s="6" t="inlineStr">
        <is>
          <t>SP 40</t>
        </is>
      </c>
      <c r="B6" s="6" t="n">
        <v>63</v>
      </c>
      <c r="C6" s="6" t="inlineStr">
        <is>
          <t>B5</t>
        </is>
      </c>
      <c r="D6" s="6" t="n">
        <v>5</v>
      </c>
      <c r="E6" s="6" t="n">
        <v>0</v>
      </c>
      <c r="F6" s="6">
        <f>D6+E6</f>
        <v/>
      </c>
      <c r="G6" s="6" t="n">
        <v>1</v>
      </c>
      <c r="H6" s="9" t="n">
        <v>0.01368754564239909</v>
      </c>
      <c r="I6" s="10">
        <f>Assumptions!$D$12*H6</f>
        <v/>
      </c>
      <c r="J6" s="10">
        <f>IF(I6&gt;0,F6/I6,999)</f>
        <v/>
      </c>
      <c r="K6" s="13" t="inlineStr">
        <is>
          <t>One-off</t>
        </is>
      </c>
    </row>
    <row r="7">
      <c r="A7" s="6" t="inlineStr">
        <is>
          <t>SP 40</t>
        </is>
      </c>
      <c r="B7" s="6" t="n">
        <v>71</v>
      </c>
      <c r="C7" s="6" t="inlineStr">
        <is>
          <t>B14</t>
        </is>
      </c>
      <c r="D7" s="6" t="n">
        <v>685</v>
      </c>
      <c r="E7" s="6" t="n">
        <v>598</v>
      </c>
      <c r="F7" s="6">
        <f>D7+E7</f>
        <v/>
      </c>
      <c r="G7" s="6" t="n">
        <v>7</v>
      </c>
      <c r="H7" s="9" t="n">
        <v>0.5801000814008361</v>
      </c>
      <c r="I7" s="10">
        <f>Assumptions!$D$12*H7</f>
        <v/>
      </c>
      <c r="J7" s="10">
        <f>IF(I7&gt;0,F7/I7,999)</f>
        <v/>
      </c>
      <c r="K7" s="14" t="inlineStr">
        <is>
          <t>Tight</t>
        </is>
      </c>
    </row>
    <row r="8">
      <c r="A8" s="6" t="inlineStr">
        <is>
          <t>SP 40</t>
        </is>
      </c>
      <c r="B8" s="6" t="n">
        <v>71</v>
      </c>
      <c r="C8" s="6" t="inlineStr">
        <is>
          <t>B5</t>
        </is>
      </c>
      <c r="D8" s="6" t="n">
        <v>5</v>
      </c>
      <c r="E8" s="6" t="n">
        <v>0</v>
      </c>
      <c r="F8" s="6">
        <f>D8+E8</f>
        <v/>
      </c>
      <c r="G8" s="6" t="n">
        <v>1</v>
      </c>
      <c r="H8" s="9" t="n">
        <v>0.01368754564239909</v>
      </c>
      <c r="I8" s="10">
        <f>Assumptions!$D$12*H8</f>
        <v/>
      </c>
      <c r="J8" s="10">
        <f>IF(I8&gt;0,F8/I8,999)</f>
        <v/>
      </c>
      <c r="K8" s="13" t="inlineStr">
        <is>
          <t>One-off</t>
        </is>
      </c>
    </row>
    <row r="9">
      <c r="A9" s="6" t="inlineStr">
        <is>
          <t>SP 50</t>
        </is>
      </c>
      <c r="B9" s="6" t="n">
        <v>63</v>
      </c>
      <c r="C9" s="6" t="inlineStr">
        <is>
          <t>B14</t>
        </is>
      </c>
      <c r="D9" s="6" t="n">
        <v>150</v>
      </c>
      <c r="E9" s="6" t="n">
        <v>40</v>
      </c>
      <c r="F9" s="6">
        <f>D9+E9</f>
        <v/>
      </c>
      <c r="G9" s="6" t="n">
        <v>1</v>
      </c>
      <c r="H9" s="9" t="n">
        <v>0.04146876922870164</v>
      </c>
      <c r="I9" s="10">
        <f>Assumptions!$D$13*H9</f>
        <v/>
      </c>
      <c r="J9" s="10">
        <f>IF(I9&gt;0,F9/I9,999)</f>
        <v/>
      </c>
      <c r="K9" s="13" t="inlineStr">
        <is>
          <t>One-off</t>
        </is>
      </c>
    </row>
    <row r="10">
      <c r="A10" s="6" t="inlineStr">
        <is>
          <t>SP 50</t>
        </is>
      </c>
      <c r="B10" s="6" t="n">
        <v>71</v>
      </c>
      <c r="C10" s="6" t="inlineStr">
        <is>
          <t>B14</t>
        </is>
      </c>
      <c r="D10" s="6" t="n">
        <v>1656</v>
      </c>
      <c r="E10" s="6" t="n">
        <v>1471</v>
      </c>
      <c r="F10" s="6">
        <f>D10+E10</f>
        <v/>
      </c>
      <c r="G10" s="6" t="n">
        <v>11</v>
      </c>
      <c r="H10" s="9" t="n">
        <v>0.5579620081281988</v>
      </c>
      <c r="I10" s="10">
        <f>Assumptions!$D$13*H10</f>
        <v/>
      </c>
      <c r="J10" s="10">
        <f>IF(I10&gt;0,F10/I10,999)</f>
        <v/>
      </c>
      <c r="K10" s="16" t="inlineStr">
        <is>
          <t>Heavy</t>
        </is>
      </c>
    </row>
    <row r="11">
      <c r="A11" s="6" t="inlineStr">
        <is>
          <t>SP 50</t>
        </is>
      </c>
      <c r="B11" s="6" t="n">
        <v>71</v>
      </c>
      <c r="C11" s="6" t="inlineStr">
        <is>
          <t>B5</t>
        </is>
      </c>
      <c r="D11" s="6" t="n">
        <v>15</v>
      </c>
      <c r="E11" s="6" t="n">
        <v>50</v>
      </c>
      <c r="F11" s="6">
        <f>D11+E11</f>
        <v/>
      </c>
      <c r="G11" s="6" t="n">
        <v>3</v>
      </c>
      <c r="H11" s="9" t="n">
        <v>0.04201086765174396</v>
      </c>
      <c r="I11" s="10">
        <f>Assumptions!$D$13*H11</f>
        <v/>
      </c>
      <c r="J11" s="10">
        <f>IF(I11&gt;0,F11/I11,999)</f>
        <v/>
      </c>
      <c r="K11" s="15" t="inlineStr">
        <is>
          <t>MISSING</t>
        </is>
      </c>
    </row>
    <row r="12">
      <c r="A12" s="6" t="inlineStr">
        <is>
          <t>SP 50</t>
        </is>
      </c>
      <c r="B12" s="6" t="n">
        <v>80</v>
      </c>
      <c r="C12" s="6" t="inlineStr">
        <is>
          <t>B14</t>
        </is>
      </c>
      <c r="D12" s="6" t="n">
        <v>586</v>
      </c>
      <c r="E12" s="6" t="n">
        <v>414</v>
      </c>
      <c r="F12" s="6">
        <f>D12+E12</f>
        <v/>
      </c>
      <c r="G12" s="6" t="n">
        <v>10</v>
      </c>
      <c r="H12" s="9" t="n">
        <v>0.3008460719671592</v>
      </c>
      <c r="I12" s="10">
        <f>Assumptions!$D$13*H12</f>
        <v/>
      </c>
      <c r="J12" s="10">
        <f>IF(I12&gt;0,F12/I12,999)</f>
        <v/>
      </c>
      <c r="K12" s="11" t="inlineStr">
        <is>
          <t>Balanced</t>
        </is>
      </c>
    </row>
    <row r="13">
      <c r="A13" s="6" t="inlineStr">
        <is>
          <t>SP 50</t>
        </is>
      </c>
      <c r="B13" s="6" t="n">
        <v>80</v>
      </c>
      <c r="C13" s="6" t="inlineStr">
        <is>
          <t>B5</t>
        </is>
      </c>
      <c r="D13" s="6" t="n">
        <v>82</v>
      </c>
      <c r="E13" s="6" t="n">
        <v>10</v>
      </c>
      <c r="F13" s="6">
        <f>D13+E13</f>
        <v/>
      </c>
      <c r="G13" s="6" t="n">
        <v>4</v>
      </c>
      <c r="H13" s="9" t="n">
        <v>0.05771228302419635</v>
      </c>
      <c r="I13" s="10">
        <f>Assumptions!$D$13*H13</f>
        <v/>
      </c>
      <c r="J13" s="10">
        <f>IF(I13&gt;0,F13/I13,999)</f>
        <v/>
      </c>
      <c r="K13" s="15" t="inlineStr">
        <is>
          <t>MISSING</t>
        </is>
      </c>
    </row>
    <row r="14">
      <c r="A14" s="6" t="inlineStr">
        <is>
          <t>SP 63</t>
        </is>
      </c>
      <c r="B14" s="6" t="n">
        <v>63</v>
      </c>
      <c r="C14" s="6" t="inlineStr">
        <is>
          <t>B5</t>
        </is>
      </c>
      <c r="D14" s="6" t="n">
        <v>0</v>
      </c>
      <c r="E14" s="6" t="n">
        <v>1</v>
      </c>
      <c r="F14" s="6">
        <f>D14+E14</f>
        <v/>
      </c>
      <c r="G14" s="6" t="n">
        <v>1</v>
      </c>
      <c r="H14" s="9" t="n">
        <v>0.003835920657143994</v>
      </c>
      <c r="I14" s="10">
        <f>Assumptions!$D$14*H14</f>
        <v/>
      </c>
      <c r="J14" s="10">
        <f>IF(I14&gt;0,F14/I14,999)</f>
        <v/>
      </c>
      <c r="K14" s="13" t="inlineStr">
        <is>
          <t>One-off</t>
        </is>
      </c>
    </row>
    <row r="15">
      <c r="A15" s="6" t="inlineStr">
        <is>
          <t>SP 63</t>
        </is>
      </c>
      <c r="B15" s="6" t="n">
        <v>71</v>
      </c>
      <c r="C15" s="6" t="inlineStr">
        <is>
          <t>B14</t>
        </is>
      </c>
      <c r="D15" s="6" t="n">
        <v>65</v>
      </c>
      <c r="E15" s="6" t="n">
        <v>22</v>
      </c>
      <c r="F15" s="6">
        <f>D15+E15</f>
        <v/>
      </c>
      <c r="G15" s="6" t="n">
        <v>4</v>
      </c>
      <c r="H15" s="9" t="n">
        <v>0.07155817197351114</v>
      </c>
      <c r="I15" s="10">
        <f>Assumptions!$D$14*H15</f>
        <v/>
      </c>
      <c r="J15" s="10">
        <f>IF(I15&gt;0,F15/I15,999)</f>
        <v/>
      </c>
      <c r="K15" s="15" t="inlineStr">
        <is>
          <t>MISSING</t>
        </is>
      </c>
    </row>
    <row r="16">
      <c r="A16" s="6" t="inlineStr">
        <is>
          <t>SP 63</t>
        </is>
      </c>
      <c r="B16" s="6" t="n">
        <v>80</v>
      </c>
      <c r="C16" s="6" t="inlineStr">
        <is>
          <t>B14</t>
        </is>
      </c>
      <c r="D16" s="6" t="n">
        <v>768</v>
      </c>
      <c r="E16" s="6" t="n">
        <v>1120</v>
      </c>
      <c r="F16" s="6">
        <f>D16+E16</f>
        <v/>
      </c>
      <c r="G16" s="6" t="n">
        <v>9</v>
      </c>
      <c r="H16" s="9" t="n">
        <v>0.5000251689625883</v>
      </c>
      <c r="I16" s="10">
        <f>Assumptions!$D$14*H16</f>
        <v/>
      </c>
      <c r="J16" s="10">
        <f>IF(I16&gt;0,F16/I16,999)</f>
        <v/>
      </c>
      <c r="K16" s="11" t="inlineStr">
        <is>
          <t>Balanced</t>
        </is>
      </c>
    </row>
    <row r="17">
      <c r="A17" s="6" t="inlineStr">
        <is>
          <t>SP 63</t>
        </is>
      </c>
      <c r="B17" s="6" t="n">
        <v>80</v>
      </c>
      <c r="C17" s="6" t="inlineStr">
        <is>
          <t>B5</t>
        </is>
      </c>
      <c r="D17" s="6" t="n">
        <v>10</v>
      </c>
      <c r="E17" s="6" t="n">
        <v>20</v>
      </c>
      <c r="F17" s="6">
        <f>D17+E17</f>
        <v/>
      </c>
      <c r="G17" s="6" t="n">
        <v>3</v>
      </c>
      <c r="H17" s="9" t="n">
        <v>0.03639073860079459</v>
      </c>
      <c r="I17" s="10">
        <f>Assumptions!$D$14*H17</f>
        <v/>
      </c>
      <c r="J17" s="10">
        <f>IF(I17&gt;0,F17/I17,999)</f>
        <v/>
      </c>
      <c r="K17" s="15" t="inlineStr">
        <is>
          <t>MISSING</t>
        </is>
      </c>
    </row>
    <row r="18">
      <c r="A18" s="6" t="inlineStr">
        <is>
          <t>SP 63</t>
        </is>
      </c>
      <c r="B18" s="6" t="n">
        <v>90</v>
      </c>
      <c r="C18" s="6" t="inlineStr">
        <is>
          <t>B14</t>
        </is>
      </c>
      <c r="D18" s="6" t="n">
        <v>153</v>
      </c>
      <c r="E18" s="6" t="n">
        <v>786</v>
      </c>
      <c r="F18" s="6">
        <f>D18+E18</f>
        <v/>
      </c>
      <c r="G18" s="6" t="n">
        <v>7</v>
      </c>
      <c r="H18" s="9" t="n">
        <v>0.3109935856949352</v>
      </c>
      <c r="I18" s="10">
        <f>Assumptions!$D$14*H18</f>
        <v/>
      </c>
      <c r="J18" s="10">
        <f>IF(I18&gt;0,F18/I18,999)</f>
        <v/>
      </c>
      <c r="K18" s="11" t="inlineStr">
        <is>
          <t>Balanced</t>
        </is>
      </c>
    </row>
    <row r="19">
      <c r="A19" s="6" t="inlineStr">
        <is>
          <t>SP 63</t>
        </is>
      </c>
      <c r="B19" s="6" t="n">
        <v>90</v>
      </c>
      <c r="C19" s="6" t="inlineStr">
        <is>
          <t>B5</t>
        </is>
      </c>
      <c r="D19" s="6" t="n">
        <v>105</v>
      </c>
      <c r="E19" s="6" t="n">
        <v>30</v>
      </c>
      <c r="F19" s="6">
        <f>D19+E19</f>
        <v/>
      </c>
      <c r="G19" s="6" t="n">
        <v>3</v>
      </c>
      <c r="H19" s="9" t="n">
        <v>0.07719641411102671</v>
      </c>
      <c r="I19" s="10">
        <f>Assumptions!$D$14*H19</f>
        <v/>
      </c>
      <c r="J19" s="10">
        <f>IF(I19&gt;0,F19/I19,999)</f>
        <v/>
      </c>
      <c r="K19" s="14" t="inlineStr">
        <is>
          <t>Tight</t>
        </is>
      </c>
    </row>
    <row r="20">
      <c r="A20" s="6" t="inlineStr">
        <is>
          <t>SP 75</t>
        </is>
      </c>
      <c r="B20" s="6" t="n">
        <v>80</v>
      </c>
      <c r="C20" s="6" t="inlineStr">
        <is>
          <t>B14</t>
        </is>
      </c>
      <c r="D20" s="6" t="n">
        <v>3</v>
      </c>
      <c r="E20" s="6" t="n">
        <v>159</v>
      </c>
      <c r="F20" s="6">
        <f>D20+E20</f>
        <v/>
      </c>
      <c r="G20" s="6" t="n">
        <v>5</v>
      </c>
      <c r="H20" s="9" t="n">
        <v>0.3290066885558008</v>
      </c>
      <c r="I20" s="10">
        <f>Assumptions!$D$15*H20</f>
        <v/>
      </c>
      <c r="J20" s="10">
        <f>IF(I20&gt;0,F20/I20,999)</f>
        <v/>
      </c>
      <c r="K20" s="14" t="inlineStr">
        <is>
          <t>Tight</t>
        </is>
      </c>
    </row>
    <row r="21">
      <c r="A21" s="6" t="inlineStr">
        <is>
          <t>SP 75</t>
        </is>
      </c>
      <c r="B21" s="6" t="n">
        <v>90</v>
      </c>
      <c r="C21" s="6" t="inlineStr">
        <is>
          <t>B14</t>
        </is>
      </c>
      <c r="D21" s="6" t="n">
        <v>75</v>
      </c>
      <c r="E21" s="6" t="n">
        <v>82</v>
      </c>
      <c r="F21" s="6">
        <f>D21+E21</f>
        <v/>
      </c>
      <c r="G21" s="6" t="n">
        <v>4</v>
      </c>
      <c r="H21" s="9" t="n">
        <v>0.2896956936823875</v>
      </c>
      <c r="I21" s="10">
        <f>Assumptions!$D$15*H21</f>
        <v/>
      </c>
      <c r="J21" s="10">
        <f>IF(I21&gt;0,F21/I21,999)</f>
        <v/>
      </c>
      <c r="K21" s="14" t="inlineStr">
        <is>
          <t>Tight</t>
        </is>
      </c>
    </row>
    <row r="22">
      <c r="A22" s="6" t="inlineStr">
        <is>
          <t>SP 75</t>
        </is>
      </c>
      <c r="B22" s="6" t="n">
        <v>90</v>
      </c>
      <c r="C22" s="6" t="inlineStr">
        <is>
          <t>B5</t>
        </is>
      </c>
      <c r="D22" s="6" t="n">
        <v>35</v>
      </c>
      <c r="E22" s="6" t="n">
        <v>51</v>
      </c>
      <c r="F22" s="6">
        <f>D22+E22</f>
        <v/>
      </c>
      <c r="G22" s="6" t="n">
        <v>5</v>
      </c>
      <c r="H22" s="9" t="n">
        <v>0.2397156815876487</v>
      </c>
      <c r="I22" s="10">
        <f>Assumptions!$D$15*H22</f>
        <v/>
      </c>
      <c r="J22" s="10">
        <f>IF(I22&gt;0,F22/I22,999)</f>
        <v/>
      </c>
      <c r="K22" s="15" t="inlineStr">
        <is>
          <t>MISSING</t>
        </is>
      </c>
    </row>
    <row r="23">
      <c r="A23" s="6" t="inlineStr">
        <is>
          <t>SP 75</t>
        </is>
      </c>
      <c r="B23" s="6" t="n">
        <v>100</v>
      </c>
      <c r="C23" s="6" t="inlineStr">
        <is>
          <t>B14</t>
        </is>
      </c>
      <c r="D23" s="6" t="n">
        <v>0</v>
      </c>
      <c r="E23" s="6" t="n">
        <v>50</v>
      </c>
      <c r="F23" s="6">
        <f>D23+E23</f>
        <v/>
      </c>
      <c r="G23" s="6" t="n">
        <v>3</v>
      </c>
      <c r="H23" s="9" t="n">
        <v>0.141581936174163</v>
      </c>
      <c r="I23" s="10">
        <f>Assumptions!$D$15*H23</f>
        <v/>
      </c>
      <c r="J23" s="10">
        <f>IF(I23&gt;0,F23/I23,999)</f>
        <v/>
      </c>
      <c r="K23" s="15" t="inlineStr">
        <is>
          <t>MISSING</t>
        </is>
      </c>
    </row>
    <row r="24">
      <c r="A24" s="6" t="inlineStr">
        <is>
          <t>SP 90</t>
        </is>
      </c>
      <c r="B24" s="6" t="n">
        <v>80</v>
      </c>
      <c r="C24" s="6" t="inlineStr">
        <is>
          <t>B14</t>
        </is>
      </c>
      <c r="D24" s="6" t="n">
        <v>5</v>
      </c>
      <c r="E24" s="6" t="n">
        <v>0</v>
      </c>
      <c r="F24" s="6">
        <f>D24+E24</f>
        <v/>
      </c>
      <c r="G24" s="6" t="n">
        <v>1</v>
      </c>
      <c r="H24" s="9" t="n">
        <v>0.01525351215957655</v>
      </c>
      <c r="I24" s="10">
        <f>Assumptions!$D$16*H24</f>
        <v/>
      </c>
      <c r="J24" s="10">
        <f>IF(I24&gt;0,F24/I24,999)</f>
        <v/>
      </c>
      <c r="K24" s="13" t="inlineStr">
        <is>
          <t>One-off</t>
        </is>
      </c>
    </row>
    <row r="25">
      <c r="A25" s="6" t="inlineStr">
        <is>
          <t>SP 90</t>
        </is>
      </c>
      <c r="B25" s="6" t="n">
        <v>80</v>
      </c>
      <c r="C25" s="6" t="inlineStr">
        <is>
          <t>B5</t>
        </is>
      </c>
      <c r="D25" s="6" t="n">
        <v>5</v>
      </c>
      <c r="E25" s="6" t="n">
        <v>0</v>
      </c>
      <c r="F25" s="6">
        <f>D25+E25</f>
        <v/>
      </c>
      <c r="G25" s="6" t="n">
        <v>1</v>
      </c>
      <c r="H25" s="9" t="n">
        <v>0.01525351215957655</v>
      </c>
      <c r="I25" s="10">
        <f>Assumptions!$D$16*H25</f>
        <v/>
      </c>
      <c r="J25" s="10">
        <f>IF(I25&gt;0,F25/I25,999)</f>
        <v/>
      </c>
      <c r="K25" s="13" t="inlineStr">
        <is>
          <t>One-off</t>
        </is>
      </c>
    </row>
    <row r="26">
      <c r="A26" s="6" t="inlineStr">
        <is>
          <t>SP 90</t>
        </is>
      </c>
      <c r="B26" s="6" t="n">
        <v>90</v>
      </c>
      <c r="C26" s="6" t="inlineStr">
        <is>
          <t>B14</t>
        </is>
      </c>
      <c r="D26" s="6" t="n">
        <v>60</v>
      </c>
      <c r="E26" s="6" t="n">
        <v>132</v>
      </c>
      <c r="F26" s="6">
        <f>D26+E26</f>
        <v/>
      </c>
      <c r="G26" s="6" t="n">
        <v>5</v>
      </c>
      <c r="H26" s="9" t="n">
        <v>0.21135886443405</v>
      </c>
      <c r="I26" s="10">
        <f>Assumptions!$D$16*H26</f>
        <v/>
      </c>
      <c r="J26" s="10">
        <f>IF(I26&gt;0,F26/I26,999)</f>
        <v/>
      </c>
      <c r="K26" s="11" t="inlineStr">
        <is>
          <t>Balanced</t>
        </is>
      </c>
    </row>
    <row r="27">
      <c r="A27" s="6" t="inlineStr">
        <is>
          <t>SP 90</t>
        </is>
      </c>
      <c r="B27" s="6" t="n">
        <v>90</v>
      </c>
      <c r="C27" s="6" t="inlineStr">
        <is>
          <t>B5</t>
        </is>
      </c>
      <c r="D27" s="6" t="n">
        <v>5</v>
      </c>
      <c r="E27" s="6" t="n">
        <v>30</v>
      </c>
      <c r="F27" s="6">
        <f>D27+E27</f>
        <v/>
      </c>
      <c r="G27" s="6" t="n">
        <v>2</v>
      </c>
      <c r="H27" s="9" t="n">
        <v>0.05707341644612573</v>
      </c>
      <c r="I27" s="10">
        <f>Assumptions!$D$16*H27</f>
        <v/>
      </c>
      <c r="J27" s="10">
        <f>IF(I27&gt;0,F27/I27,999)</f>
        <v/>
      </c>
      <c r="K27" s="11" t="inlineStr">
        <is>
          <t>Balanced</t>
        </is>
      </c>
    </row>
    <row r="28">
      <c r="A28" s="6" t="inlineStr">
        <is>
          <t>SP 90</t>
        </is>
      </c>
      <c r="B28" s="6" t="n">
        <v>100</v>
      </c>
      <c r="C28" s="6" t="inlineStr">
        <is>
          <t>B14</t>
        </is>
      </c>
      <c r="D28" s="6" t="n">
        <v>100</v>
      </c>
      <c r="E28" s="6" t="n">
        <v>711</v>
      </c>
      <c r="F28" s="6">
        <f>D28+E28</f>
        <v/>
      </c>
      <c r="G28" s="6" t="n">
        <v>7</v>
      </c>
      <c r="H28" s="9" t="n">
        <v>0.5139777247487948</v>
      </c>
      <c r="I28" s="10">
        <f>Assumptions!$D$16*H28</f>
        <v/>
      </c>
      <c r="J28" s="10">
        <f>IF(I28&gt;0,F28/I28,999)</f>
        <v/>
      </c>
      <c r="K28" s="16" t="inlineStr">
        <is>
          <t>Heavy</t>
        </is>
      </c>
    </row>
    <row r="29">
      <c r="A29" s="6" t="inlineStr">
        <is>
          <t>SP 90</t>
        </is>
      </c>
      <c r="B29" s="6" t="n">
        <v>100</v>
      </c>
      <c r="C29" s="6" t="inlineStr">
        <is>
          <t>B5</t>
        </is>
      </c>
      <c r="D29" s="6" t="n">
        <v>31</v>
      </c>
      <c r="E29" s="6" t="n">
        <v>50</v>
      </c>
      <c r="F29" s="6">
        <f>D29+E29</f>
        <v/>
      </c>
      <c r="G29" s="6" t="n">
        <v>5</v>
      </c>
      <c r="H29" s="9" t="n">
        <v>0.1372816094361889</v>
      </c>
      <c r="I29" s="10">
        <f>Assumptions!$D$16*H29</f>
        <v/>
      </c>
      <c r="J29" s="10">
        <f>IF(I29&gt;0,F29/I29,999)</f>
        <v/>
      </c>
      <c r="K29" s="11" t="inlineStr">
        <is>
          <t>Balanced</t>
        </is>
      </c>
    </row>
    <row r="30">
      <c r="A30" s="6" t="inlineStr">
        <is>
          <t>SP 90</t>
        </is>
      </c>
      <c r="B30" s="6" t="n">
        <v>112</v>
      </c>
      <c r="C30" s="6" t="inlineStr">
        <is>
          <t>B14</t>
        </is>
      </c>
      <c r="D30" s="6" t="n">
        <v>8</v>
      </c>
      <c r="E30" s="6" t="n">
        <v>0</v>
      </c>
      <c r="F30" s="6">
        <f>D30+E30</f>
        <v/>
      </c>
      <c r="G30" s="6" t="n">
        <v>1</v>
      </c>
      <c r="H30" s="9" t="n">
        <v>0.01929433629653426</v>
      </c>
      <c r="I30" s="10">
        <f>Assumptions!$D$16*H30</f>
        <v/>
      </c>
      <c r="J30" s="10">
        <f>IF(I30&gt;0,F30/I30,999)</f>
        <v/>
      </c>
      <c r="K30" s="13" t="inlineStr">
        <is>
          <t>One-off</t>
        </is>
      </c>
    </row>
    <row r="31">
      <c r="A31" s="6" t="inlineStr">
        <is>
          <t>SP 90</t>
        </is>
      </c>
      <c r="B31" s="6" t="n">
        <v>112</v>
      </c>
      <c r="C31" s="6" t="inlineStr">
        <is>
          <t>B5</t>
        </is>
      </c>
      <c r="D31" s="6" t="n">
        <v>10</v>
      </c>
      <c r="E31" s="6" t="n">
        <v>0</v>
      </c>
      <c r="F31" s="6">
        <f>D31+E31</f>
        <v/>
      </c>
      <c r="G31" s="6" t="n">
        <v>2</v>
      </c>
      <c r="H31" s="9" t="n">
        <v>0.0305070243191531</v>
      </c>
      <c r="I31" s="10">
        <f>Assumptions!$D$16*H31</f>
        <v/>
      </c>
      <c r="J31" s="10">
        <f>IF(I31&gt;0,F31/I31,999)</f>
        <v/>
      </c>
      <c r="K31" s="15" t="inlineStr">
        <is>
          <t>MISSING</t>
        </is>
      </c>
    </row>
    <row r="32">
      <c r="A32" s="6" t="inlineStr">
        <is>
          <t>SP 110</t>
        </is>
      </c>
      <c r="B32" s="6" t="n">
        <v>90</v>
      </c>
      <c r="C32" s="6" t="inlineStr">
        <is>
          <t>B14</t>
        </is>
      </c>
      <c r="D32" s="6" t="n">
        <v>0</v>
      </c>
      <c r="E32" s="6" t="n">
        <v>6</v>
      </c>
      <c r="F32" s="6">
        <f>D32+E32</f>
        <v/>
      </c>
      <c r="G32" s="6" t="n">
        <v>1</v>
      </c>
      <c r="H32" s="9" t="n">
        <v>0.04030888775506389</v>
      </c>
      <c r="I32" s="10">
        <f>Assumptions!$D$17*H32</f>
        <v/>
      </c>
      <c r="J32" s="10">
        <f>IF(I32&gt;0,F32/I32,999)</f>
        <v/>
      </c>
      <c r="K32" s="13" t="inlineStr">
        <is>
          <t>One-off</t>
        </is>
      </c>
    </row>
    <row r="33">
      <c r="A33" s="6" t="inlineStr">
        <is>
          <t>SP 110</t>
        </is>
      </c>
      <c r="B33" s="6" t="n">
        <v>100</v>
      </c>
      <c r="C33" s="6" t="inlineStr">
        <is>
          <t>B14</t>
        </is>
      </c>
      <c r="D33" s="6" t="n">
        <v>177</v>
      </c>
      <c r="E33" s="6" t="n">
        <v>50</v>
      </c>
      <c r="F33" s="6">
        <f>D33+E33</f>
        <v/>
      </c>
      <c r="G33" s="6" t="n">
        <v>4</v>
      </c>
      <c r="H33" s="9" t="n">
        <v>0.4958703191194428</v>
      </c>
      <c r="I33" s="10">
        <f>Assumptions!$D$17*H33</f>
        <v/>
      </c>
      <c r="J33" s="10">
        <f>IF(I33&gt;0,F33/I33,999)</f>
        <v/>
      </c>
      <c r="K33" s="11" t="inlineStr">
        <is>
          <t>Balanced</t>
        </is>
      </c>
    </row>
    <row r="34">
      <c r="A34" s="6" t="inlineStr">
        <is>
          <t>SP 110</t>
        </is>
      </c>
      <c r="B34" s="6" t="n">
        <v>100</v>
      </c>
      <c r="C34" s="6" t="inlineStr">
        <is>
          <t>B5</t>
        </is>
      </c>
      <c r="D34" s="6" t="n">
        <v>3</v>
      </c>
      <c r="E34" s="6" t="n">
        <v>0</v>
      </c>
      <c r="F34" s="6">
        <f>D34+E34</f>
        <v/>
      </c>
      <c r="G34" s="6" t="n">
        <v>1</v>
      </c>
      <c r="H34" s="9" t="n">
        <v>0.02850268787369307</v>
      </c>
      <c r="I34" s="10">
        <f>Assumptions!$D$17*H34</f>
        <v/>
      </c>
      <c r="J34" s="10">
        <f>IF(I34&gt;0,F34/I34,999)</f>
        <v/>
      </c>
      <c r="K34" s="13" t="inlineStr">
        <is>
          <t>One-off</t>
        </is>
      </c>
    </row>
    <row r="35">
      <c r="A35" s="6" t="inlineStr">
        <is>
          <t>SP 110</t>
        </is>
      </c>
      <c r="B35" s="6" t="n">
        <v>112</v>
      </c>
      <c r="C35" s="6" t="inlineStr">
        <is>
          <t>B14</t>
        </is>
      </c>
      <c r="D35" s="6" t="n">
        <v>83</v>
      </c>
      <c r="E35" s="6" t="n">
        <v>5</v>
      </c>
      <c r="F35" s="6">
        <f>D35+E35</f>
        <v/>
      </c>
      <c r="G35" s="6" t="n">
        <v>5</v>
      </c>
      <c r="H35" s="9" t="n">
        <v>0.3451846921340684</v>
      </c>
      <c r="I35" s="10">
        <f>Assumptions!$D$17*H35</f>
        <v/>
      </c>
      <c r="J35" s="10">
        <f>IF(I35&gt;0,F35/I35,999)</f>
        <v/>
      </c>
      <c r="K35" s="14" t="inlineStr">
        <is>
          <t>Tight</t>
        </is>
      </c>
    </row>
    <row r="36">
      <c r="A36" s="6" t="inlineStr">
        <is>
          <t>SP 110</t>
        </is>
      </c>
      <c r="B36" s="6" t="n">
        <v>112</v>
      </c>
      <c r="C36" s="6" t="inlineStr">
        <is>
          <t>B5</t>
        </is>
      </c>
      <c r="D36" s="6" t="n">
        <v>8</v>
      </c>
      <c r="E36" s="6" t="n">
        <v>2</v>
      </c>
      <c r="F36" s="6">
        <f>D36+E36</f>
        <v/>
      </c>
      <c r="G36" s="6" t="n">
        <v>3</v>
      </c>
      <c r="H36" s="9" t="n">
        <v>0.09013341311773176</v>
      </c>
      <c r="I36" s="10">
        <f>Assumptions!$D$17*H36</f>
        <v/>
      </c>
      <c r="J36" s="10">
        <f>IF(I36&gt;0,F36/I36,999)</f>
        <v/>
      </c>
      <c r="K36" s="15" t="inlineStr">
        <is>
          <t>MISSING</t>
        </is>
      </c>
    </row>
    <row r="37">
      <c r="A37" s="6" t="inlineStr">
        <is>
          <t>SP 130</t>
        </is>
      </c>
      <c r="B37" s="6" t="n">
        <v>112</v>
      </c>
      <c r="C37" s="6" t="inlineStr">
        <is>
          <t>B14</t>
        </is>
      </c>
      <c r="D37" s="6" t="n">
        <v>271</v>
      </c>
      <c r="E37" s="6" t="n">
        <v>5</v>
      </c>
      <c r="F37" s="6">
        <f>D37+E37</f>
        <v/>
      </c>
      <c r="G37" s="6" t="n">
        <v>3</v>
      </c>
      <c r="H37" s="9" t="n">
        <v>0.7601702818183455</v>
      </c>
      <c r="I37" s="10">
        <f>Assumptions!$D$18*H37</f>
        <v/>
      </c>
      <c r="J37" s="10">
        <f>IF(I37&gt;0,F37/I37,999)</f>
        <v/>
      </c>
      <c r="K37" s="11" t="inlineStr">
        <is>
          <t>Balanced</t>
        </is>
      </c>
    </row>
    <row r="38">
      <c r="A38" s="6" t="inlineStr">
        <is>
          <t>SP 130</t>
        </is>
      </c>
      <c r="B38" s="6" t="n">
        <v>112</v>
      </c>
      <c r="C38" s="6" t="inlineStr">
        <is>
          <t>B5</t>
        </is>
      </c>
      <c r="D38" s="6" t="n">
        <v>10</v>
      </c>
      <c r="E38" s="6" t="n">
        <v>0</v>
      </c>
      <c r="F38" s="6">
        <f>D38+E38</f>
        <v/>
      </c>
      <c r="G38" s="6" t="n">
        <v>1</v>
      </c>
      <c r="H38" s="9" t="n">
        <v>0.08354024004779824</v>
      </c>
      <c r="I38" s="10">
        <f>Assumptions!$D$18*H38</f>
        <v/>
      </c>
      <c r="J38" s="10">
        <f>IF(I38&gt;0,F38/I38,999)</f>
        <v/>
      </c>
      <c r="K38" s="15" t="inlineStr">
        <is>
          <t>MISSING</t>
        </is>
      </c>
    </row>
    <row r="39">
      <c r="A39" s="6" t="inlineStr">
        <is>
          <t>SP 130</t>
        </is>
      </c>
      <c r="B39" s="6" t="n">
        <v>132</v>
      </c>
      <c r="C39" s="6" t="inlineStr">
        <is>
          <t>B14</t>
        </is>
      </c>
      <c r="D39" s="6" t="n">
        <v>5</v>
      </c>
      <c r="E39" s="6" t="n">
        <v>2</v>
      </c>
      <c r="F39" s="6">
        <f>D39+E39</f>
        <v/>
      </c>
      <c r="G39" s="6" t="n">
        <v>5</v>
      </c>
      <c r="H39" s="9" t="n">
        <v>0.1562894781338563</v>
      </c>
      <c r="I39" s="10">
        <f>Assumptions!$D$18*H39</f>
        <v/>
      </c>
      <c r="J39" s="10">
        <f>IF(I39&gt;0,F39/I39,999)</f>
        <v/>
      </c>
      <c r="K39" s="15" t="inlineStr">
        <is>
          <t>MISSING</t>
        </is>
      </c>
    </row>
    <row r="40">
      <c r="A40" s="6" t="inlineStr">
        <is>
          <t>SP 150</t>
        </is>
      </c>
      <c r="B40" s="6" t="n">
        <v>100</v>
      </c>
      <c r="C40" s="6" t="inlineStr">
        <is>
          <t>B5</t>
        </is>
      </c>
      <c r="D40" s="6" t="n">
        <v>6</v>
      </c>
      <c r="E40" s="6" t="n">
        <v>0</v>
      </c>
      <c r="F40" s="6">
        <f>D40+E40</f>
        <v/>
      </c>
      <c r="G40" s="6" t="n">
        <v>1</v>
      </c>
      <c r="H40" s="9" t="n">
        <v>0.143533430129006</v>
      </c>
      <c r="I40" s="10">
        <f>Assumptions!$D$19*H40</f>
        <v/>
      </c>
      <c r="J40" s="10">
        <f>IF(I40&gt;0,F40/I40,999)</f>
        <v/>
      </c>
      <c r="K40" s="16" t="inlineStr">
        <is>
          <t>Heavy</t>
        </is>
      </c>
    </row>
    <row r="41">
      <c r="A41" s="6" t="inlineStr">
        <is>
          <t>SP 150</t>
        </is>
      </c>
      <c r="B41" s="6" t="n">
        <v>112</v>
      </c>
      <c r="C41" s="6" t="inlineStr">
        <is>
          <t>B5</t>
        </is>
      </c>
      <c r="D41" s="6" t="n">
        <v>3</v>
      </c>
      <c r="E41" s="6" t="n">
        <v>0</v>
      </c>
      <c r="F41" s="6">
        <f>D41+E41</f>
        <v/>
      </c>
      <c r="G41" s="6" t="n">
        <v>1</v>
      </c>
      <c r="H41" s="9" t="n">
        <v>0.1014934617711857</v>
      </c>
      <c r="I41" s="10">
        <f>Assumptions!$D$19*H41</f>
        <v/>
      </c>
      <c r="J41" s="10">
        <f>IF(I41&gt;0,F41/I41,999)</f>
        <v/>
      </c>
      <c r="K41" s="11" t="inlineStr">
        <is>
          <t>Balanced</t>
        </is>
      </c>
    </row>
    <row r="42">
      <c r="A42" s="6" t="inlineStr">
        <is>
          <t>SP 150</t>
        </is>
      </c>
      <c r="B42" s="6" t="n">
        <v>132</v>
      </c>
      <c r="C42" s="6" t="inlineStr">
        <is>
          <t>B5</t>
        </is>
      </c>
      <c r="D42" s="6" t="n">
        <v>33</v>
      </c>
      <c r="E42" s="6" t="n">
        <v>50</v>
      </c>
      <c r="F42" s="6">
        <f>D42+E42</f>
        <v/>
      </c>
      <c r="G42" s="6" t="n">
        <v>2</v>
      </c>
      <c r="H42" s="9" t="n">
        <v>0.7549731080998083</v>
      </c>
      <c r="I42" s="10">
        <f>Assumptions!$D$19*H42</f>
        <v/>
      </c>
      <c r="J42" s="10">
        <f>IF(I42&gt;0,F42/I42,999)</f>
        <v/>
      </c>
      <c r="K42" s="16" t="inlineStr">
        <is>
          <t>Heavy</t>
        </is>
      </c>
    </row>
  </sheetData>
  <autoFilter ref="A1:K4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9" customWidth="1" min="3" max="3"/>
    <col width="12" customWidth="1" min="4" max="4"/>
    <col width="13" customWidth="1" min="5" max="5"/>
    <col width="13" customWidth="1" min="6" max="6"/>
    <col width="11" customWidth="1" min="7" max="7"/>
    <col width="11" customWidth="1" min="8" max="8"/>
  </cols>
  <sheetData>
    <row r="1">
      <c r="A1" s="8" t="inlineStr">
        <is>
          <t>Priority</t>
        </is>
      </c>
      <c r="B1" s="8" t="inlineStr">
        <is>
          <t>Size</t>
        </is>
      </c>
      <c r="C1" s="8" t="inlineStr">
        <is>
          <t>Ratio (i)</t>
        </is>
      </c>
      <c r="D1" s="8" t="inlineStr">
        <is>
          <t>Current cover (mo)</t>
        </is>
      </c>
      <c r="E1" s="8" t="inlineStr">
        <is>
          <t>Batches ordered</t>
        </is>
      </c>
      <c r="F1" s="8" t="inlineStr">
        <is>
          <t>Suggested qty</t>
        </is>
      </c>
      <c r="G1" s="8" t="inlineStr">
        <is>
          <t>Unit FOB $</t>
        </is>
      </c>
      <c r="H1" s="8" t="inlineStr">
        <is>
          <t>Value $</t>
        </is>
      </c>
    </row>
    <row r="2">
      <c r="A2" s="6" t="inlineStr">
        <is>
          <t>P1 — order now</t>
        </is>
      </c>
      <c r="B2" s="6" t="inlineStr">
        <is>
          <t>SP 130</t>
        </is>
      </c>
      <c r="C2" s="6" t="n">
        <v>15</v>
      </c>
      <c r="D2" s="6" t="n">
        <v>2.1</v>
      </c>
      <c r="E2" s="6" t="n">
        <v>5</v>
      </c>
      <c r="F2" s="6" t="n">
        <v>95</v>
      </c>
      <c r="G2" s="6" t="n">
        <v>151</v>
      </c>
      <c r="H2" s="12">
        <f>F2*G2</f>
        <v/>
      </c>
    </row>
    <row r="3">
      <c r="A3" s="6" t="inlineStr">
        <is>
          <t>P1 — order now</t>
        </is>
      </c>
      <c r="B3" s="6" t="inlineStr">
        <is>
          <t>SP 130</t>
        </is>
      </c>
      <c r="C3" s="6" t="n">
        <v>50</v>
      </c>
      <c r="D3" s="6" t="n">
        <v>2.4</v>
      </c>
      <c r="E3" s="6" t="n">
        <v>3</v>
      </c>
      <c r="F3" s="6" t="n">
        <v>65</v>
      </c>
      <c r="G3" s="6" t="n">
        <v>151</v>
      </c>
      <c r="H3" s="12">
        <f>F3*G3</f>
        <v/>
      </c>
    </row>
    <row r="4">
      <c r="A4" s="6" t="inlineStr">
        <is>
          <t>P1 — order now</t>
        </is>
      </c>
      <c r="B4" s="6" t="inlineStr">
        <is>
          <t>SP 110</t>
        </is>
      </c>
      <c r="C4" s="6" t="n">
        <v>30</v>
      </c>
      <c r="D4" s="6" t="n">
        <v>2.6</v>
      </c>
      <c r="E4" s="6" t="n">
        <v>2</v>
      </c>
      <c r="F4" s="6" t="n">
        <v>30</v>
      </c>
      <c r="G4" s="6" t="n">
        <v>115</v>
      </c>
      <c r="H4" s="12">
        <f>F4*G4</f>
        <v/>
      </c>
    </row>
    <row r="5">
      <c r="A5" s="6" t="inlineStr">
        <is>
          <t>P1 — order now</t>
        </is>
      </c>
      <c r="B5" s="6" t="inlineStr">
        <is>
          <t>SP 40</t>
        </is>
      </c>
      <c r="C5" s="6" t="n">
        <v>10</v>
      </c>
      <c r="D5" s="6" t="n">
        <v>3</v>
      </c>
      <c r="E5" s="6" t="n">
        <v>3</v>
      </c>
      <c r="F5" s="6" t="n">
        <v>150</v>
      </c>
      <c r="G5" s="6" t="n">
        <v>17.3</v>
      </c>
      <c r="H5" s="12">
        <f>F5*G5</f>
        <v/>
      </c>
    </row>
    <row r="6">
      <c r="A6" s="6" t="inlineStr">
        <is>
          <t>P1 — order now</t>
        </is>
      </c>
      <c r="B6" s="6" t="inlineStr">
        <is>
          <t>SP 110</t>
        </is>
      </c>
      <c r="C6" s="6" t="n">
        <v>7.5</v>
      </c>
      <c r="D6" s="6" t="n">
        <v>3.1</v>
      </c>
      <c r="E6" s="6" t="n">
        <v>2</v>
      </c>
      <c r="F6" s="6" t="n">
        <v>30</v>
      </c>
      <c r="G6" s="6" t="n">
        <v>115</v>
      </c>
      <c r="H6" s="12">
        <f>F6*G6</f>
        <v/>
      </c>
    </row>
    <row r="7">
      <c r="A7" s="6" t="inlineStr">
        <is>
          <t>P1 — order now</t>
        </is>
      </c>
      <c r="B7" s="6" t="inlineStr">
        <is>
          <t>SP 110</t>
        </is>
      </c>
      <c r="C7" s="6" t="n">
        <v>60</v>
      </c>
      <c r="D7" s="6" t="n">
        <v>3.2</v>
      </c>
      <c r="E7" s="6" t="n">
        <v>4</v>
      </c>
      <c r="F7" s="6" t="n">
        <v>60</v>
      </c>
      <c r="G7" s="6" t="n">
        <v>115</v>
      </c>
      <c r="H7" s="12">
        <f>F7*G7</f>
        <v/>
      </c>
    </row>
    <row r="8">
      <c r="A8" s="6" t="inlineStr">
        <is>
          <t>P1 — order now</t>
        </is>
      </c>
      <c r="B8" s="6" t="inlineStr">
        <is>
          <t>SP 30</t>
        </is>
      </c>
      <c r="C8" s="6" t="n">
        <v>60</v>
      </c>
      <c r="D8" s="6" t="n">
        <v>3.2</v>
      </c>
      <c r="E8" s="6" t="n">
        <v>3</v>
      </c>
      <c r="F8" s="6" t="n">
        <v>45</v>
      </c>
      <c r="G8" s="6" t="n">
        <v>14.9</v>
      </c>
      <c r="H8" s="12">
        <f>F8*G8</f>
        <v/>
      </c>
    </row>
    <row r="9">
      <c r="A9" s="6" t="inlineStr">
        <is>
          <t>P1 — order now</t>
        </is>
      </c>
      <c r="B9" s="6" t="inlineStr">
        <is>
          <t>SP 40</t>
        </is>
      </c>
      <c r="C9" s="6" t="n">
        <v>40</v>
      </c>
      <c r="D9" s="6" t="n">
        <v>3.3</v>
      </c>
      <c r="E9" s="6" t="n">
        <v>2</v>
      </c>
      <c r="F9" s="6" t="n">
        <v>110</v>
      </c>
      <c r="G9" s="6" t="n">
        <v>17.3</v>
      </c>
      <c r="H9" s="12">
        <f>F9*G9</f>
        <v/>
      </c>
    </row>
    <row r="10">
      <c r="A10" s="6" t="inlineStr">
        <is>
          <t>P1 — order now</t>
        </is>
      </c>
      <c r="B10" s="6" t="inlineStr">
        <is>
          <t>SP 40</t>
        </is>
      </c>
      <c r="C10" s="6" t="n">
        <v>5</v>
      </c>
      <c r="D10" s="6" t="n">
        <v>3.4</v>
      </c>
      <c r="E10" s="6" t="n">
        <v>2</v>
      </c>
      <c r="F10" s="6" t="n">
        <v>110</v>
      </c>
      <c r="G10" s="6" t="n">
        <v>17.3</v>
      </c>
      <c r="H10" s="12">
        <f>F10*G10</f>
        <v/>
      </c>
    </row>
    <row r="11">
      <c r="A11" s="6" t="inlineStr">
        <is>
          <t>P1 — order now</t>
        </is>
      </c>
      <c r="B11" s="6" t="inlineStr">
        <is>
          <t>SP 75</t>
        </is>
      </c>
      <c r="C11" s="6" t="n">
        <v>100</v>
      </c>
      <c r="D11" s="6" t="n">
        <v>3.4</v>
      </c>
      <c r="E11" s="6" t="n">
        <v>4</v>
      </c>
      <c r="F11" s="6" t="n">
        <v>70</v>
      </c>
      <c r="G11" s="6" t="n">
        <v>52</v>
      </c>
      <c r="H11" s="12">
        <f>F11*G11</f>
        <v/>
      </c>
    </row>
    <row r="12">
      <c r="A12" s="6" t="inlineStr">
        <is>
          <t>P1 — order now</t>
        </is>
      </c>
      <c r="B12" s="6" t="inlineStr">
        <is>
          <t>SP 40</t>
        </is>
      </c>
      <c r="C12" s="6" t="n">
        <v>30</v>
      </c>
      <c r="D12" s="6" t="n">
        <v>3.7</v>
      </c>
      <c r="E12" s="6" t="n">
        <v>3</v>
      </c>
      <c r="F12" s="6" t="n">
        <v>170</v>
      </c>
      <c r="G12" s="6" t="n">
        <v>17.3</v>
      </c>
      <c r="H12" s="12">
        <f>F12*G12</f>
        <v/>
      </c>
    </row>
    <row r="13">
      <c r="A13" s="6" t="inlineStr">
        <is>
          <t>P1 — order now</t>
        </is>
      </c>
      <c r="B13" s="6" t="inlineStr">
        <is>
          <t>SP 40</t>
        </is>
      </c>
      <c r="C13" s="6" t="n">
        <v>7.5</v>
      </c>
      <c r="D13" s="6" t="n">
        <v>3.9</v>
      </c>
      <c r="E13" s="6" t="n">
        <v>3</v>
      </c>
      <c r="F13" s="6" t="n">
        <v>175</v>
      </c>
      <c r="G13" s="6" t="n">
        <v>17.3</v>
      </c>
      <c r="H13" s="12">
        <f>F13*G13</f>
        <v/>
      </c>
    </row>
    <row r="14">
      <c r="A14" s="6" t="inlineStr">
        <is>
          <t>P1 — order now</t>
        </is>
      </c>
      <c r="B14" s="6" t="inlineStr">
        <is>
          <t>SP 40</t>
        </is>
      </c>
      <c r="C14" s="6" t="n">
        <v>25</v>
      </c>
      <c r="D14" s="6" t="n">
        <v>4.1</v>
      </c>
      <c r="E14" s="6" t="n">
        <v>4</v>
      </c>
      <c r="F14" s="6" t="n">
        <v>240</v>
      </c>
      <c r="G14" s="6" t="n">
        <v>17.3</v>
      </c>
      <c r="H14" s="12">
        <f>F14*G14</f>
        <v/>
      </c>
    </row>
    <row r="15">
      <c r="A15" s="6" t="inlineStr">
        <is>
          <t>P1 — order now</t>
        </is>
      </c>
      <c r="B15" s="6" t="inlineStr">
        <is>
          <t>SP 50</t>
        </is>
      </c>
      <c r="C15" s="6" t="n">
        <v>10</v>
      </c>
      <c r="D15" s="6" t="n">
        <v>4.1</v>
      </c>
      <c r="E15" s="6" t="n">
        <v>3</v>
      </c>
      <c r="F15" s="6" t="n">
        <v>50</v>
      </c>
      <c r="G15" s="6" t="n">
        <v>26</v>
      </c>
      <c r="H15" s="12">
        <f>F15*G15</f>
        <v/>
      </c>
    </row>
    <row r="16">
      <c r="A16" s="6" t="inlineStr">
        <is>
          <t>P1 — order now</t>
        </is>
      </c>
      <c r="B16" s="6" t="inlineStr">
        <is>
          <t>SP 75</t>
        </is>
      </c>
      <c r="C16" s="6" t="n">
        <v>15</v>
      </c>
      <c r="D16" s="6" t="n">
        <v>4.2</v>
      </c>
      <c r="E16" s="6" t="n">
        <v>4</v>
      </c>
      <c r="F16" s="6" t="n">
        <v>80</v>
      </c>
      <c r="G16" s="6" t="n">
        <v>52</v>
      </c>
      <c r="H16" s="12">
        <f>F16*G16</f>
        <v/>
      </c>
    </row>
    <row r="17">
      <c r="A17" s="6" t="inlineStr">
        <is>
          <t>P1 — order now</t>
        </is>
      </c>
      <c r="B17" s="6" t="inlineStr">
        <is>
          <t>SP 63</t>
        </is>
      </c>
      <c r="C17" s="6" t="n">
        <v>60</v>
      </c>
      <c r="D17" s="6" t="n">
        <v>4.2</v>
      </c>
      <c r="E17" s="6" t="n">
        <v>3</v>
      </c>
      <c r="F17" s="6" t="n">
        <v>45</v>
      </c>
      <c r="G17" s="6" t="n">
        <v>35.5</v>
      </c>
      <c r="H17" s="12">
        <f>F17*G17</f>
        <v/>
      </c>
    </row>
    <row r="18">
      <c r="A18" s="6" t="inlineStr">
        <is>
          <t>P1 — order now</t>
        </is>
      </c>
      <c r="B18" s="6" t="inlineStr">
        <is>
          <t>SP 75</t>
        </is>
      </c>
      <c r="C18" s="6" t="n">
        <v>50</v>
      </c>
      <c r="D18" s="6" t="n">
        <v>4.3</v>
      </c>
      <c r="E18" s="6" t="n">
        <v>4</v>
      </c>
      <c r="F18" s="6" t="n">
        <v>80</v>
      </c>
      <c r="G18" s="6" t="n">
        <v>52</v>
      </c>
      <c r="H18" s="12">
        <f>F18*G18</f>
        <v/>
      </c>
    </row>
    <row r="19">
      <c r="A19" s="6" t="inlineStr">
        <is>
          <t>P1 — order now</t>
        </is>
      </c>
      <c r="B19" s="6" t="inlineStr">
        <is>
          <t>SP 75</t>
        </is>
      </c>
      <c r="C19" s="6" t="n">
        <v>40</v>
      </c>
      <c r="D19" s="6" t="n">
        <v>4.4</v>
      </c>
      <c r="E19" s="6" t="n">
        <v>4</v>
      </c>
      <c r="F19" s="6" t="n">
        <v>80</v>
      </c>
      <c r="G19" s="6" t="n">
        <v>52</v>
      </c>
      <c r="H19" s="12">
        <f>F19*G19</f>
        <v/>
      </c>
    </row>
    <row r="20">
      <c r="A20" s="6" t="inlineStr">
        <is>
          <t>P1 — order now</t>
        </is>
      </c>
      <c r="B20" s="6" t="inlineStr">
        <is>
          <t>SP 75</t>
        </is>
      </c>
      <c r="C20" s="6" t="n">
        <v>60</v>
      </c>
      <c r="D20" s="6" t="n">
        <v>4.5</v>
      </c>
      <c r="E20" s="6" t="n">
        <v>3</v>
      </c>
      <c r="F20" s="6" t="n">
        <v>60</v>
      </c>
      <c r="G20" s="6" t="n">
        <v>52</v>
      </c>
      <c r="H20" s="12">
        <f>F20*G20</f>
        <v/>
      </c>
    </row>
    <row r="21">
      <c r="A21" s="6" t="inlineStr">
        <is>
          <t>P2 — order Q3</t>
        </is>
      </c>
      <c r="B21" s="6" t="inlineStr">
        <is>
          <t>SP 63</t>
        </is>
      </c>
      <c r="C21" s="6" t="n">
        <v>10</v>
      </c>
      <c r="D21" s="6" t="n">
        <v>5.5</v>
      </c>
      <c r="E21" s="6" t="n">
        <v>3</v>
      </c>
      <c r="F21" s="6" t="n">
        <v>50</v>
      </c>
      <c r="G21" s="6" t="n">
        <v>35.5</v>
      </c>
      <c r="H21" s="12">
        <f>F21*G21</f>
        <v/>
      </c>
    </row>
    <row r="22">
      <c r="A22" s="6" t="inlineStr">
        <is>
          <t>P2 — order Q3</t>
        </is>
      </c>
      <c r="B22" s="6" t="inlineStr">
        <is>
          <t>SP 75</t>
        </is>
      </c>
      <c r="C22" s="6" t="n">
        <v>25</v>
      </c>
      <c r="D22" s="6" t="n">
        <v>5.5</v>
      </c>
      <c r="E22" s="6" t="n">
        <v>2</v>
      </c>
      <c r="F22" s="6" t="n">
        <v>45</v>
      </c>
      <c r="G22" s="6" t="n">
        <v>52</v>
      </c>
      <c r="H22" s="12">
        <f>F22*G22</f>
        <v/>
      </c>
    </row>
    <row r="23">
      <c r="A23" s="6" t="inlineStr">
        <is>
          <t>P2 — order Q3</t>
        </is>
      </c>
      <c r="B23" s="6" t="inlineStr">
        <is>
          <t>SP 75</t>
        </is>
      </c>
      <c r="C23" s="6" t="n">
        <v>30</v>
      </c>
      <c r="D23" s="6" t="n">
        <v>5.5</v>
      </c>
      <c r="E23" s="6" t="n">
        <v>6</v>
      </c>
      <c r="F23" s="6" t="n">
        <v>125</v>
      </c>
      <c r="G23" s="6" t="n">
        <v>52</v>
      </c>
      <c r="H23" s="12">
        <f>F23*G23</f>
        <v/>
      </c>
    </row>
    <row r="24">
      <c r="A24" s="6" t="inlineStr">
        <is>
          <t>P2 — order Q3</t>
        </is>
      </c>
      <c r="B24" s="6" t="inlineStr">
        <is>
          <t>SP 40</t>
        </is>
      </c>
      <c r="C24" s="6" t="n">
        <v>20</v>
      </c>
      <c r="D24" s="6" t="n">
        <v>5.7</v>
      </c>
      <c r="E24" s="6" t="n">
        <v>5</v>
      </c>
      <c r="F24" s="6" t="n">
        <v>335</v>
      </c>
      <c r="G24" s="6" t="n">
        <v>17.3</v>
      </c>
      <c r="H24" s="12">
        <f>F24*G24</f>
        <v/>
      </c>
    </row>
    <row r="25">
      <c r="A25" s="6" t="inlineStr">
        <is>
          <t>P2 — order Q3</t>
        </is>
      </c>
      <c r="B25" s="6" t="inlineStr">
        <is>
          <t>SP 90</t>
        </is>
      </c>
      <c r="C25" s="6" t="n">
        <v>80</v>
      </c>
      <c r="D25" s="6" t="n">
        <v>5.9</v>
      </c>
      <c r="E25" s="6" t="n">
        <v>2</v>
      </c>
      <c r="F25" s="6" t="n">
        <v>10</v>
      </c>
      <c r="G25" s="6" t="n">
        <v>71</v>
      </c>
      <c r="H25" s="12">
        <f>F25*G25</f>
        <v/>
      </c>
    </row>
    <row r="26">
      <c r="A26" s="6" t="inlineStr">
        <is>
          <t>P2 — order Q3</t>
        </is>
      </c>
      <c r="B26" s="6" t="inlineStr">
        <is>
          <t>SP 40</t>
        </is>
      </c>
      <c r="C26" s="6" t="n">
        <v>15</v>
      </c>
      <c r="D26" s="6" t="n">
        <v>6.1</v>
      </c>
      <c r="E26" s="6" t="n">
        <v>4</v>
      </c>
      <c r="F26" s="6" t="n">
        <v>265</v>
      </c>
      <c r="G26" s="6" t="n">
        <v>17.3</v>
      </c>
      <c r="H26" s="12">
        <f>F26*G26</f>
        <v/>
      </c>
    </row>
    <row r="27">
      <c r="A27" s="6" t="inlineStr">
        <is>
          <t>P2 — order Q3</t>
        </is>
      </c>
      <c r="B27" s="6" t="inlineStr">
        <is>
          <t>SP 110</t>
        </is>
      </c>
      <c r="C27" s="6" t="n">
        <v>20</v>
      </c>
      <c r="D27" s="6" t="n">
        <v>6.2</v>
      </c>
      <c r="E27" s="6" t="n">
        <v>2</v>
      </c>
      <c r="F27" s="6" t="n">
        <v>40</v>
      </c>
      <c r="G27" s="6" t="n">
        <v>115</v>
      </c>
      <c r="H27" s="12">
        <f>F27*G27</f>
        <v/>
      </c>
    </row>
    <row r="28">
      <c r="A28" s="6" t="inlineStr">
        <is>
          <t>P2 — order Q3</t>
        </is>
      </c>
      <c r="B28" s="6" t="inlineStr">
        <is>
          <t>SP 50</t>
        </is>
      </c>
      <c r="C28" s="6" t="n">
        <v>80</v>
      </c>
      <c r="D28" s="6" t="n">
        <v>6.3</v>
      </c>
      <c r="E28" s="6" t="n">
        <v>2</v>
      </c>
      <c r="F28" s="6" t="n">
        <v>40</v>
      </c>
      <c r="G28" s="6" t="n">
        <v>26</v>
      </c>
      <c r="H28" s="12">
        <f>F28*G28</f>
        <v/>
      </c>
    </row>
    <row r="29">
      <c r="A29" s="6" t="inlineStr">
        <is>
          <t>P2 — order Q3</t>
        </is>
      </c>
      <c r="B29" s="6" t="inlineStr">
        <is>
          <t>SP 63</t>
        </is>
      </c>
      <c r="C29" s="6" t="n">
        <v>40</v>
      </c>
      <c r="D29" s="6" t="n">
        <v>6.5</v>
      </c>
      <c r="E29" s="6" t="n">
        <v>3</v>
      </c>
      <c r="F29" s="6" t="n">
        <v>50</v>
      </c>
      <c r="G29" s="6" t="n">
        <v>35.5</v>
      </c>
      <c r="H29" s="12">
        <f>F29*G29</f>
        <v/>
      </c>
    </row>
    <row r="30">
      <c r="A30" s="6" t="inlineStr">
        <is>
          <t>P2 — order Q3</t>
        </is>
      </c>
      <c r="B30" s="6" t="inlineStr">
        <is>
          <t>SP 40</t>
        </is>
      </c>
      <c r="C30" s="6" t="n">
        <v>50</v>
      </c>
      <c r="D30" s="6" t="n">
        <v>6.9</v>
      </c>
      <c r="E30" s="6" t="n">
        <v>5</v>
      </c>
      <c r="F30" s="6" t="n">
        <v>325</v>
      </c>
      <c r="G30" s="6" t="n">
        <v>17.3</v>
      </c>
      <c r="H30" s="12">
        <f>F30*G30</f>
        <v/>
      </c>
    </row>
    <row r="31">
      <c r="A31" s="6" t="inlineStr">
        <is>
          <t>P2 — order Q3</t>
        </is>
      </c>
      <c r="B31" s="6" t="inlineStr">
        <is>
          <t>SP 30</t>
        </is>
      </c>
      <c r="C31" s="6" t="n">
        <v>20</v>
      </c>
      <c r="D31" s="6" t="n">
        <v>6.9</v>
      </c>
      <c r="E31" s="6" t="n">
        <v>5</v>
      </c>
      <c r="F31" s="6" t="n">
        <v>85</v>
      </c>
      <c r="G31" s="6" t="n">
        <v>14.9</v>
      </c>
      <c r="H31" s="12">
        <f>F31*G31</f>
        <v/>
      </c>
    </row>
    <row r="32">
      <c r="A32" s="6" t="inlineStr">
        <is>
          <t>P2 — order Q3</t>
        </is>
      </c>
      <c r="B32" s="6" t="inlineStr">
        <is>
          <t>SP 75</t>
        </is>
      </c>
      <c r="C32" s="6" t="n">
        <v>80</v>
      </c>
      <c r="D32" s="6" t="n">
        <v>7</v>
      </c>
      <c r="E32" s="6" t="n">
        <v>5</v>
      </c>
      <c r="F32" s="6" t="n">
        <v>105</v>
      </c>
      <c r="G32" s="6" t="n">
        <v>52</v>
      </c>
      <c r="H32" s="12">
        <f>F32*G32</f>
        <v/>
      </c>
    </row>
    <row r="33">
      <c r="A33" s="6" t="inlineStr">
        <is>
          <t>P2 — order Q3</t>
        </is>
      </c>
      <c r="B33" s="6" t="inlineStr">
        <is>
          <t>SP 50</t>
        </is>
      </c>
      <c r="C33" s="6" t="n">
        <v>30</v>
      </c>
      <c r="D33" s="6" t="n">
        <v>7</v>
      </c>
      <c r="E33" s="6" t="n">
        <v>4</v>
      </c>
      <c r="F33" s="6" t="n">
        <v>70</v>
      </c>
      <c r="G33" s="6" t="n">
        <v>26</v>
      </c>
      <c r="H33" s="12">
        <f>F33*G33</f>
        <v/>
      </c>
    </row>
    <row r="34">
      <c r="A34" s="6" t="inlineStr">
        <is>
          <t>P2 — order Q3</t>
        </is>
      </c>
      <c r="B34" s="6" t="inlineStr">
        <is>
          <t>SP 90</t>
        </is>
      </c>
      <c r="C34" s="6" t="n">
        <v>15</v>
      </c>
      <c r="D34" s="6" t="n">
        <v>7.1</v>
      </c>
      <c r="E34" s="6" t="n">
        <v>4</v>
      </c>
      <c r="F34" s="6" t="n">
        <v>20</v>
      </c>
      <c r="G34" s="6" t="n">
        <v>71</v>
      </c>
      <c r="H34" s="12">
        <f>F34*G34</f>
        <v/>
      </c>
    </row>
    <row r="35">
      <c r="A35" s="6" t="inlineStr">
        <is>
          <t>P2 — order Q3</t>
        </is>
      </c>
      <c r="B35" s="6" t="inlineStr">
        <is>
          <t>SP 50</t>
        </is>
      </c>
      <c r="C35" s="6" t="n">
        <v>20</v>
      </c>
      <c r="D35" s="6" t="n">
        <v>7.3</v>
      </c>
      <c r="E35" s="6" t="n">
        <v>6</v>
      </c>
      <c r="F35" s="6" t="n">
        <v>105</v>
      </c>
      <c r="G35" s="6" t="n">
        <v>26</v>
      </c>
      <c r="H35" s="12">
        <f>F35*G35</f>
        <v/>
      </c>
    </row>
    <row r="36">
      <c r="A36" s="6" t="inlineStr">
        <is>
          <t>P2 — order Q3</t>
        </is>
      </c>
      <c r="B36" s="6" t="inlineStr">
        <is>
          <t>SP 63</t>
        </is>
      </c>
      <c r="C36" s="6" t="n">
        <v>80</v>
      </c>
      <c r="D36" s="6" t="n">
        <v>7.4</v>
      </c>
      <c r="E36" s="6" t="n">
        <v>7</v>
      </c>
      <c r="F36" s="6" t="n">
        <v>105</v>
      </c>
      <c r="G36" s="6" t="n">
        <v>35.5</v>
      </c>
      <c r="H36" s="12">
        <f>F36*G36</f>
        <v/>
      </c>
    </row>
    <row r="37">
      <c r="A37" s="6" t="inlineStr">
        <is>
          <t>P2 — order Q3</t>
        </is>
      </c>
      <c r="B37" s="6" t="inlineStr">
        <is>
          <t>SP 50</t>
        </is>
      </c>
      <c r="C37" s="6" t="n">
        <v>5</v>
      </c>
      <c r="D37" s="6" t="n">
        <v>7.6</v>
      </c>
      <c r="E37" s="6" t="n">
        <v>2</v>
      </c>
      <c r="F37" s="6" t="n">
        <v>35</v>
      </c>
      <c r="G37" s="6" t="n">
        <v>26</v>
      </c>
      <c r="H37" s="12">
        <f>F37*G37</f>
        <v/>
      </c>
    </row>
    <row r="38">
      <c r="A38" s="6" t="inlineStr">
        <is>
          <t>P2 — order Q3</t>
        </is>
      </c>
      <c r="B38" s="6" t="inlineStr">
        <is>
          <t>SP 30</t>
        </is>
      </c>
      <c r="C38" s="6" t="n">
        <v>80</v>
      </c>
      <c r="D38" s="6" t="n">
        <v>7.7</v>
      </c>
      <c r="E38" s="6" t="n">
        <v>4</v>
      </c>
      <c r="F38" s="6" t="n">
        <v>65</v>
      </c>
      <c r="G38" s="6" t="n">
        <v>14.9</v>
      </c>
      <c r="H38" s="12">
        <f>F38*G38</f>
        <v/>
      </c>
    </row>
    <row r="39">
      <c r="A39" s="6" t="inlineStr">
        <is>
          <t>P3 — top-up</t>
        </is>
      </c>
      <c r="B39" s="6" t="inlineStr">
        <is>
          <t>SP 30</t>
        </is>
      </c>
      <c r="C39" s="6" t="n">
        <v>30</v>
      </c>
      <c r="D39" s="6" t="n">
        <v>8.1</v>
      </c>
      <c r="E39" s="6" t="n">
        <v>4</v>
      </c>
      <c r="F39" s="6" t="n">
        <v>65</v>
      </c>
      <c r="G39" s="6" t="n">
        <v>14.9</v>
      </c>
      <c r="H39" s="12">
        <f>F39*G39</f>
        <v/>
      </c>
    </row>
    <row r="40">
      <c r="A40" s="6" t="inlineStr">
        <is>
          <t>P3 — top-up</t>
        </is>
      </c>
      <c r="B40" s="6" t="inlineStr">
        <is>
          <t>SP 90</t>
        </is>
      </c>
      <c r="C40" s="6" t="n">
        <v>50</v>
      </c>
      <c r="D40" s="6" t="n">
        <v>8.199999999999999</v>
      </c>
      <c r="E40" s="6" t="n">
        <v>3</v>
      </c>
      <c r="F40" s="6" t="n">
        <v>15</v>
      </c>
      <c r="G40" s="6" t="n">
        <v>71</v>
      </c>
      <c r="H40" s="12">
        <f>F40*G40</f>
        <v/>
      </c>
    </row>
    <row r="41">
      <c r="A41" s="6" t="inlineStr">
        <is>
          <t>P3 — top-up</t>
        </is>
      </c>
      <c r="B41" s="6" t="inlineStr">
        <is>
          <t>SP 50</t>
        </is>
      </c>
      <c r="C41" s="6" t="n">
        <v>7.5</v>
      </c>
      <c r="D41" s="6" t="n">
        <v>8.300000000000001</v>
      </c>
      <c r="E41" s="6" t="n">
        <v>8</v>
      </c>
      <c r="F41" s="6" t="n">
        <v>125</v>
      </c>
      <c r="G41" s="6" t="n">
        <v>26</v>
      </c>
      <c r="H41" s="12">
        <f>F41*G41</f>
        <v/>
      </c>
    </row>
    <row r="42">
      <c r="A42" s="6" t="inlineStr">
        <is>
          <t>P3 — top-up</t>
        </is>
      </c>
      <c r="B42" s="6" t="inlineStr">
        <is>
          <t>SP 50</t>
        </is>
      </c>
      <c r="C42" s="6" t="n">
        <v>40</v>
      </c>
      <c r="D42" s="6" t="n">
        <v>8.699999999999999</v>
      </c>
      <c r="E42" s="6" t="n">
        <v>7</v>
      </c>
      <c r="F42" s="6" t="n">
        <v>100</v>
      </c>
      <c r="G42" s="6" t="n">
        <v>26</v>
      </c>
      <c r="H42" s="12">
        <f>F42*G42</f>
        <v/>
      </c>
    </row>
    <row r="43">
      <c r="A43" s="6" t="inlineStr">
        <is>
          <t>P3 — top-up</t>
        </is>
      </c>
      <c r="B43" s="6" t="inlineStr">
        <is>
          <t>SP 50</t>
        </is>
      </c>
      <c r="C43" s="6" t="n">
        <v>60</v>
      </c>
      <c r="D43" s="6" t="n">
        <v>8.699999999999999</v>
      </c>
      <c r="E43" s="6" t="n">
        <v>5</v>
      </c>
      <c r="F43" s="6" t="n">
        <v>75</v>
      </c>
      <c r="G43" s="6" t="n">
        <v>26</v>
      </c>
      <c r="H43" s="12">
        <f>F43*G43</f>
        <v/>
      </c>
    </row>
    <row r="44">
      <c r="A44" s="6" t="inlineStr">
        <is>
          <t>P3 — top-up</t>
        </is>
      </c>
      <c r="B44" s="6" t="inlineStr">
        <is>
          <t>SP 63</t>
        </is>
      </c>
      <c r="C44" s="6" t="n">
        <v>7.5</v>
      </c>
      <c r="D44" s="6" t="n">
        <v>8.800000000000001</v>
      </c>
      <c r="E44" s="6" t="n">
        <v>5</v>
      </c>
      <c r="F44" s="6" t="n">
        <v>65</v>
      </c>
      <c r="G44" s="6" t="n">
        <v>35.5</v>
      </c>
      <c r="H44" s="12">
        <f>F44*G44</f>
        <v/>
      </c>
    </row>
    <row r="45">
      <c r="A45" s="6" t="inlineStr">
        <is>
          <t>P3 — top-up</t>
        </is>
      </c>
      <c r="B45" s="6" t="inlineStr">
        <is>
          <t>SP 50</t>
        </is>
      </c>
      <c r="C45" s="6" t="n">
        <v>25</v>
      </c>
      <c r="D45" s="6" t="n">
        <v>9.1</v>
      </c>
      <c r="E45" s="6" t="n">
        <v>5</v>
      </c>
      <c r="F45" s="6" t="n">
        <v>70</v>
      </c>
      <c r="G45" s="6" t="n">
        <v>26</v>
      </c>
      <c r="H45" s="12">
        <f>F45*G45</f>
        <v/>
      </c>
    </row>
    <row r="46">
      <c r="A46" s="6" t="inlineStr">
        <is>
          <t>P3 — top-up</t>
        </is>
      </c>
      <c r="B46" s="6" t="inlineStr">
        <is>
          <t>SP 90</t>
        </is>
      </c>
      <c r="C46" s="6" t="n">
        <v>25</v>
      </c>
      <c r="D46" s="6" t="n">
        <v>9.1</v>
      </c>
      <c r="E46" s="6" t="n">
        <v>5</v>
      </c>
      <c r="F46" s="6" t="n">
        <v>20</v>
      </c>
      <c r="G46" s="6" t="n">
        <v>71</v>
      </c>
      <c r="H46" s="12">
        <f>F46*G46</f>
        <v/>
      </c>
    </row>
    <row r="47">
      <c r="A47" s="6" t="inlineStr">
        <is>
          <t>P3 — top-up</t>
        </is>
      </c>
      <c r="B47" s="6" t="inlineStr">
        <is>
          <t>SP 30</t>
        </is>
      </c>
      <c r="C47" s="6" t="n">
        <v>7.5</v>
      </c>
      <c r="D47" s="6" t="n">
        <v>9.300000000000001</v>
      </c>
      <c r="E47" s="6" t="n">
        <v>3</v>
      </c>
      <c r="F47" s="6" t="n">
        <v>40</v>
      </c>
      <c r="G47" s="6" t="n">
        <v>14.9</v>
      </c>
      <c r="H47" s="12">
        <f>F47*G47</f>
        <v/>
      </c>
    </row>
    <row r="48">
      <c r="A48" s="6" t="inlineStr">
        <is>
          <t>P3 — top-up</t>
        </is>
      </c>
      <c r="B48" s="6" t="inlineStr">
        <is>
          <t>SP 90</t>
        </is>
      </c>
      <c r="C48" s="6" t="n">
        <v>10</v>
      </c>
      <c r="D48" s="6" t="n">
        <v>9.300000000000001</v>
      </c>
      <c r="E48" s="6" t="n">
        <v>7</v>
      </c>
      <c r="F48" s="6" t="n">
        <v>25</v>
      </c>
      <c r="G48" s="6" t="n">
        <v>71</v>
      </c>
      <c r="H48" s="12">
        <f>F48*G48</f>
        <v/>
      </c>
    </row>
    <row r="49">
      <c r="A49" s="6" t="inlineStr">
        <is>
          <t>P3 — top-up</t>
        </is>
      </c>
      <c r="B49" s="6" t="inlineStr">
        <is>
          <t>SP 63</t>
        </is>
      </c>
      <c r="C49" s="6" t="n">
        <v>30</v>
      </c>
      <c r="D49" s="6" t="n">
        <v>9.6</v>
      </c>
      <c r="E49" s="6" t="n">
        <v>8</v>
      </c>
      <c r="F49" s="6" t="n">
        <v>80</v>
      </c>
      <c r="G49" s="6" t="n">
        <v>35.5</v>
      </c>
      <c r="H49" s="12">
        <f>F49*G49</f>
        <v/>
      </c>
    </row>
    <row r="50">
      <c r="A50" s="6" t="inlineStr">
        <is>
          <t>P3 — top-up</t>
        </is>
      </c>
      <c r="B50" s="6" t="inlineStr">
        <is>
          <t>SP 30</t>
        </is>
      </c>
      <c r="C50" s="6" t="n">
        <v>10</v>
      </c>
      <c r="D50" s="6" t="n">
        <v>9.800000000000001</v>
      </c>
      <c r="E50" s="6" t="n">
        <v>4</v>
      </c>
      <c r="F50" s="6" t="n">
        <v>45</v>
      </c>
      <c r="G50" s="6" t="n">
        <v>14.9</v>
      </c>
      <c r="H50" s="12">
        <f>F50*G50</f>
        <v/>
      </c>
    </row>
    <row r="51">
      <c r="A51" s="6" t="inlineStr">
        <is>
          <t>P3 — top-up</t>
        </is>
      </c>
      <c r="B51" s="6" t="inlineStr">
        <is>
          <t>SP 40</t>
        </is>
      </c>
      <c r="C51" s="6" t="n">
        <v>100</v>
      </c>
      <c r="D51" s="6" t="n">
        <v>9.800000000000001</v>
      </c>
      <c r="E51" s="6" t="n">
        <v>2</v>
      </c>
      <c r="F51" s="6" t="n">
        <v>85</v>
      </c>
      <c r="G51" s="6" t="n">
        <v>17.3</v>
      </c>
      <c r="H51" s="12">
        <f>F51*G51</f>
        <v/>
      </c>
    </row>
    <row r="52">
      <c r="A52" s="6" t="inlineStr">
        <is>
          <t>P3 — top-up</t>
        </is>
      </c>
      <c r="B52" s="6" t="inlineStr">
        <is>
          <t>SP 130</t>
        </is>
      </c>
      <c r="C52" s="6" t="n">
        <v>40</v>
      </c>
      <c r="D52" s="6" t="n">
        <v>9.800000000000001</v>
      </c>
      <c r="E52" s="6" t="n">
        <v>3</v>
      </c>
      <c r="F52" s="6" t="n">
        <v>60</v>
      </c>
      <c r="G52" s="6" t="n">
        <v>151</v>
      </c>
      <c r="H52" s="12">
        <f>F52*G52</f>
        <v/>
      </c>
    </row>
    <row r="53">
      <c r="A53" s="6" t="inlineStr">
        <is>
          <t>P3 — top-up</t>
        </is>
      </c>
      <c r="B53" s="6" t="inlineStr">
        <is>
          <t>SP 63</t>
        </is>
      </c>
      <c r="C53" s="6" t="n">
        <v>15</v>
      </c>
      <c r="D53" s="6" t="n">
        <v>10.2</v>
      </c>
      <c r="E53" s="6" t="n">
        <v>7</v>
      </c>
      <c r="F53" s="6" t="n">
        <v>55</v>
      </c>
      <c r="G53" s="6" t="n">
        <v>35.5</v>
      </c>
      <c r="H53" s="12">
        <f>F53*G53</f>
        <v/>
      </c>
    </row>
    <row r="54">
      <c r="A54" s="6" t="inlineStr">
        <is>
          <t>P3 — top-up</t>
        </is>
      </c>
      <c r="B54" s="6" t="inlineStr">
        <is>
          <t>SP 30</t>
        </is>
      </c>
      <c r="C54" s="6" t="n">
        <v>5</v>
      </c>
      <c r="D54" s="6" t="n">
        <v>10.4</v>
      </c>
      <c r="E54" s="6" t="n">
        <v>2</v>
      </c>
      <c r="F54" s="6" t="n">
        <v>20</v>
      </c>
      <c r="G54" s="6" t="n">
        <v>14.9</v>
      </c>
      <c r="H54" s="12">
        <f>F54*G54</f>
        <v/>
      </c>
    </row>
    <row r="55">
      <c r="A55" s="6" t="inlineStr">
        <is>
          <t>P3 — top-up</t>
        </is>
      </c>
      <c r="B55" s="6" t="inlineStr">
        <is>
          <t>SP 110</t>
        </is>
      </c>
      <c r="C55" s="6" t="n">
        <v>40</v>
      </c>
      <c r="D55" s="6" t="n">
        <v>10.7</v>
      </c>
      <c r="E55" s="6" t="n">
        <v>4</v>
      </c>
      <c r="F55" s="6" t="n">
        <v>30</v>
      </c>
      <c r="G55" s="6" t="n">
        <v>115</v>
      </c>
      <c r="H55" s="12">
        <f>F55*G55</f>
        <v/>
      </c>
    </row>
    <row r="56">
      <c r="A56" s="6" t="inlineStr">
        <is>
          <t>P3 — top-up</t>
        </is>
      </c>
      <c r="B56" s="6" t="inlineStr">
        <is>
          <t>SP 63</t>
        </is>
      </c>
      <c r="C56" s="6" t="n">
        <v>20</v>
      </c>
      <c r="D56" s="6" t="n">
        <v>10.9</v>
      </c>
      <c r="E56" s="6" t="n">
        <v>6</v>
      </c>
      <c r="F56" s="6" t="n">
        <v>35</v>
      </c>
      <c r="G56" s="6" t="n">
        <v>35.5</v>
      </c>
      <c r="H56" s="12">
        <f>F56*G56</f>
        <v/>
      </c>
    </row>
    <row r="57">
      <c r="A57" s="6" t="inlineStr">
        <is>
          <t>P3 — top-up</t>
        </is>
      </c>
      <c r="B57" s="6" t="inlineStr">
        <is>
          <t>SP 63</t>
        </is>
      </c>
      <c r="C57" s="6" t="n">
        <v>25</v>
      </c>
      <c r="D57" s="6" t="n">
        <v>11.1</v>
      </c>
      <c r="E57" s="6" t="n">
        <v>5</v>
      </c>
      <c r="F57" s="6" t="n">
        <v>25</v>
      </c>
      <c r="G57" s="6" t="n">
        <v>35.5</v>
      </c>
      <c r="H57" s="12">
        <f>F57*G57</f>
        <v/>
      </c>
    </row>
    <row r="58">
      <c r="A58" s="6" t="inlineStr">
        <is>
          <t>P3 — top-up</t>
        </is>
      </c>
      <c r="B58" s="6" t="inlineStr">
        <is>
          <t>SP 30</t>
        </is>
      </c>
      <c r="C58" s="6" t="n">
        <v>100</v>
      </c>
      <c r="D58" s="6" t="n">
        <v>11.5</v>
      </c>
      <c r="E58" s="6" t="n">
        <v>4</v>
      </c>
      <c r="F58" s="6" t="n">
        <v>15</v>
      </c>
      <c r="G58" s="6" t="n">
        <v>14.9</v>
      </c>
      <c r="H58" s="12">
        <f>F58*G58</f>
        <v/>
      </c>
    </row>
    <row r="59">
      <c r="A59" s="6" t="inlineStr">
        <is>
          <t>P3 — top-up</t>
        </is>
      </c>
      <c r="B59" s="6" t="inlineStr">
        <is>
          <t>SP 50</t>
        </is>
      </c>
      <c r="C59" s="6" t="n">
        <v>50</v>
      </c>
      <c r="D59" s="6" t="n">
        <v>11.9</v>
      </c>
      <c r="E59" s="6" t="n">
        <v>8</v>
      </c>
      <c r="F59" s="6" t="n">
        <v>10</v>
      </c>
      <c r="G59" s="6" t="n">
        <v>26</v>
      </c>
      <c r="H59" s="12">
        <f>F59*G59</f>
        <v/>
      </c>
    </row>
    <row r="60">
      <c r="A60" s="17" t="inlineStr">
        <is>
          <t>TOTAL</t>
        </is>
      </c>
      <c r="F60" s="17">
        <f>SUM(F2:F59)</f>
        <v/>
      </c>
      <c r="H60" s="19">
        <f>SUM(H2:H59)</f>
        <v/>
      </c>
    </row>
  </sheetData>
  <autoFilter ref="A1:H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2026-07-31T05:58:34Z</dcterms:created>
  <dcterms:modified xsi:type="dcterms:W3CDTF">2026-07-31T05:58:34Z</dcterms:modified>
</cp:coreProperties>
</file>