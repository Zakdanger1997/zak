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atio cells" sheetId="2" state="visible" r:id="rId2"/>
    <sheet name="PAM-flange cells" sheetId="3" state="visible" r:id="rId3"/>
    <sheet name="Reorder proposal" sheetId="4" state="visible" r:id="rId4"/>
  </sheets>
  <definedNames>
    <definedName name="_xlnm._FilterDatabase" localSheetId="1" hidden="1">'Ratio cells'!$A$1:$L$101</definedName>
    <definedName name="_xlnm._FilterDatabase" localSheetId="2" hidden="1">'PAM-flange cells'!$A$1:$J$50</definedName>
    <definedName name="_xlnm._FilterDatabase" localSheetId="3" hidden="1">'Reorder proposal'!$A$1:$H$76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FDEEC8"/>
      </patternFill>
    </fill>
    <fill>
      <patternFill patternType="solid">
        <fgColor rgb="00D9EFD9"/>
      </patternFill>
    </fill>
    <fill>
      <patternFill patternType="solid">
        <fgColor rgb="00F8D3D3"/>
      </patternFill>
    </fill>
    <fill>
      <patternFill patternType="solid">
        <fgColor rgb="00FBE3D6"/>
      </patternFill>
    </fill>
    <fill>
      <patternFill patternType="solid">
        <fgColor rgb="00F3B8B8"/>
      </patternFill>
    </fill>
    <fill>
      <patternFill patternType="solid">
        <fgColor rgb="00EEEE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2" borderId="0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5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3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SP Gearbox — ratio &amp; flange model (ACTUAL sales data)</t>
        </is>
      </c>
    </row>
    <row r="2">
      <c r="A2" s="2" t="inlineStr">
        <is>
          <t>Demand now comes directly from the sales export with ratio/PAM (SP ORDERS yd+yc, detailed version). Blue cells are editable.</t>
        </is>
      </c>
    </row>
    <row r="4">
      <c r="A4" s="3" t="inlineStr">
        <is>
          <t>Sales period</t>
        </is>
      </c>
      <c r="B4" s="4" t="inlineStr">
        <is>
          <t>Jan 1 – Jul 30, 2026 (sales file has no dates) — edit B10 if different</t>
        </is>
      </c>
    </row>
    <row r="5">
      <c r="A5" s="3" t="inlineStr">
        <is>
          <t>Months in period</t>
        </is>
      </c>
      <c r="B5" s="4" t="inlineStr">
        <is>
          <t>7.0  (cell B10, blue = editable; all rates recalc from it)</t>
        </is>
      </c>
    </row>
    <row r="6">
      <c r="A6" s="3" t="inlineStr">
        <is>
          <t>Cover (months)</t>
        </is>
      </c>
      <c r="B6" s="4" t="inlineStr">
        <is>
          <t>inbound pipeline ÷ (sold ÷ months); warehouse stock NOT included</t>
        </is>
      </c>
    </row>
    <row r="7">
      <c r="A7" s="3" t="inlineStr">
        <is>
          <t>Suggested order</t>
        </is>
      </c>
      <c r="B7" s="4" t="inlineStr">
        <is>
          <t>rounds (12 × monthly rate − inbound) up to 5s, where cover &lt; 12 and 12-mo need ≥ 5</t>
        </is>
      </c>
    </row>
    <row r="8">
      <c r="A8" s="3" t="inlineStr">
        <is>
          <t>Verdicts</t>
        </is>
      </c>
      <c r="B8" s="4" t="inlineStr">
        <is>
          <t>NOT STOCKED = sold but zero inbound · MISSING &lt;5 mo · Tight 5–8 · Balanced 8–15 · Heavy &gt;15</t>
        </is>
      </c>
    </row>
    <row r="9">
      <c r="A9" s="3" t="inlineStr">
        <is>
          <t>Prices</t>
        </is>
      </c>
      <c r="B9" s="4" t="inlineStr">
        <is>
          <t>USD FOB Shanghai from supplier invoices</t>
        </is>
      </c>
    </row>
    <row r="10">
      <c r="A10" s="3" t="inlineStr">
        <is>
          <t>Months in period</t>
        </is>
      </c>
      <c r="B10" s="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10" customWidth="1" min="5" max="5"/>
    <col width="9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1" customWidth="1" min="12" max="12"/>
  </cols>
  <sheetData>
    <row r="1">
      <c r="A1" s="6" t="inlineStr">
        <is>
          <t>Size</t>
        </is>
      </c>
      <c r="B1" s="6" t="inlineStr">
        <is>
          <t>Ratio (i)</t>
        </is>
      </c>
      <c r="C1" s="6" t="inlineStr">
        <is>
          <t>Sold YTD</t>
        </is>
      </c>
      <c r="D1" s="6" t="inlineStr">
        <is>
          <t>Rate /mo</t>
        </is>
      </c>
      <c r="E1" s="6" t="inlineStr">
        <is>
          <t>In transit</t>
        </is>
      </c>
      <c r="F1" s="6" t="inlineStr">
        <is>
          <t>In mfg</t>
        </is>
      </c>
      <c r="G1" s="6" t="inlineStr">
        <is>
          <t>Total inbound</t>
        </is>
      </c>
      <c r="H1" s="6" t="inlineStr">
        <is>
          <t>Cover (months)</t>
        </is>
      </c>
      <c r="I1" s="6" t="inlineStr">
        <is>
          <t>Verdict</t>
        </is>
      </c>
      <c r="J1" s="6" t="inlineStr">
        <is>
          <t>Suggested order</t>
        </is>
      </c>
      <c r="K1" s="6" t="inlineStr">
        <is>
          <t>Order value $</t>
        </is>
      </c>
      <c r="L1" s="6" t="inlineStr">
        <is>
          <t>Unit FOB $</t>
        </is>
      </c>
    </row>
    <row r="2">
      <c r="A2" s="7" t="inlineStr">
        <is>
          <t>SP 30</t>
        </is>
      </c>
      <c r="B2" s="7" t="n">
        <v>5</v>
      </c>
      <c r="C2" s="5" t="n">
        <v>26</v>
      </c>
      <c r="D2" s="8">
        <f>C2/Assumptions!$B$10</f>
        <v/>
      </c>
      <c r="E2" s="7" t="n">
        <v>105</v>
      </c>
      <c r="F2" s="7" t="n">
        <v>0</v>
      </c>
      <c r="G2" s="7">
        <f>E2+F2</f>
        <v/>
      </c>
      <c r="H2" s="8">
        <f>IF(D2&gt;0,G2/D2,999)</f>
        <v/>
      </c>
      <c r="I2" s="9" t="inlineStr">
        <is>
          <t>Heavy</t>
        </is>
      </c>
      <c r="J2" s="7" t="n">
        <v>0</v>
      </c>
      <c r="K2" s="10">
        <f>J2*L2</f>
        <v/>
      </c>
      <c r="L2" s="7" t="n">
        <v>14.9</v>
      </c>
    </row>
    <row r="3">
      <c r="A3" s="7" t="inlineStr">
        <is>
          <t>SP 30</t>
        </is>
      </c>
      <c r="B3" s="7" t="n">
        <v>7.5</v>
      </c>
      <c r="C3" s="5" t="n">
        <v>104</v>
      </c>
      <c r="D3" s="8">
        <f>C3/Assumptions!$B$10</f>
        <v/>
      </c>
      <c r="E3" s="7" t="n">
        <v>75</v>
      </c>
      <c r="F3" s="7" t="n">
        <v>50</v>
      </c>
      <c r="G3" s="7">
        <f>E3+F3</f>
        <v/>
      </c>
      <c r="H3" s="8">
        <f>IF(D3&gt;0,G3/D3,999)</f>
        <v/>
      </c>
      <c r="I3" s="11" t="inlineStr">
        <is>
          <t>Balanced</t>
        </is>
      </c>
      <c r="J3" s="7" t="n">
        <v>55</v>
      </c>
      <c r="K3" s="10">
        <f>J3*L3</f>
        <v/>
      </c>
      <c r="L3" s="7" t="n">
        <v>14.9</v>
      </c>
    </row>
    <row r="4">
      <c r="A4" s="7" t="inlineStr">
        <is>
          <t>SP 30</t>
        </is>
      </c>
      <c r="B4" s="7" t="n">
        <v>10</v>
      </c>
      <c r="C4" s="5" t="n">
        <v>149</v>
      </c>
      <c r="D4" s="8">
        <f>C4/Assumptions!$B$10</f>
        <v/>
      </c>
      <c r="E4" s="7" t="n">
        <v>110</v>
      </c>
      <c r="F4" s="7" t="n">
        <v>74</v>
      </c>
      <c r="G4" s="7">
        <f>E4+F4</f>
        <v/>
      </c>
      <c r="H4" s="8">
        <f>IF(D4&gt;0,G4/D4,999)</f>
        <v/>
      </c>
      <c r="I4" s="11" t="inlineStr">
        <is>
          <t>Balanced</t>
        </is>
      </c>
      <c r="J4" s="7" t="n">
        <v>75</v>
      </c>
      <c r="K4" s="10">
        <f>J4*L4</f>
        <v/>
      </c>
      <c r="L4" s="7" t="n">
        <v>14.9</v>
      </c>
    </row>
    <row r="5">
      <c r="A5" s="7" t="inlineStr">
        <is>
          <t>SP 30</t>
        </is>
      </c>
      <c r="B5" s="7" t="n">
        <v>15</v>
      </c>
      <c r="C5" s="5" t="n">
        <v>93</v>
      </c>
      <c r="D5" s="8">
        <f>C5/Assumptions!$B$10</f>
        <v/>
      </c>
      <c r="E5" s="7" t="n">
        <v>0</v>
      </c>
      <c r="F5" s="7" t="n">
        <v>20</v>
      </c>
      <c r="G5" s="7">
        <f>E5+F5</f>
        <v/>
      </c>
      <c r="H5" s="8">
        <f>IF(D5&gt;0,G5/D5,999)</f>
        <v/>
      </c>
      <c r="I5" s="12" t="inlineStr">
        <is>
          <t>MISSING</t>
        </is>
      </c>
      <c r="J5" s="7" t="n">
        <v>140</v>
      </c>
      <c r="K5" s="10">
        <f>J5*L5</f>
        <v/>
      </c>
      <c r="L5" s="7" t="n">
        <v>14.9</v>
      </c>
    </row>
    <row r="6">
      <c r="A6" s="7" t="inlineStr">
        <is>
          <t>SP 30</t>
        </is>
      </c>
      <c r="B6" s="7" t="n">
        <v>20</v>
      </c>
      <c r="C6" s="5" t="n">
        <v>208</v>
      </c>
      <c r="D6" s="8">
        <f>C6/Assumptions!$B$10</f>
        <v/>
      </c>
      <c r="E6" s="7" t="n">
        <v>70</v>
      </c>
      <c r="F6" s="7" t="n">
        <v>46</v>
      </c>
      <c r="G6" s="7">
        <f>E6+F6</f>
        <v/>
      </c>
      <c r="H6" s="8">
        <f>IF(D6&gt;0,G6/D6,999)</f>
        <v/>
      </c>
      <c r="I6" s="12" t="inlineStr">
        <is>
          <t>MISSING</t>
        </is>
      </c>
      <c r="J6" s="7" t="n">
        <v>245</v>
      </c>
      <c r="K6" s="10">
        <f>J6*L6</f>
        <v/>
      </c>
      <c r="L6" s="7" t="n">
        <v>14.9</v>
      </c>
    </row>
    <row r="7">
      <c r="A7" s="7" t="inlineStr">
        <is>
          <t>SP 30</t>
        </is>
      </c>
      <c r="B7" s="7" t="n">
        <v>25</v>
      </c>
      <c r="C7" s="5" t="n">
        <v>14</v>
      </c>
      <c r="D7" s="8">
        <f>C7/Assumptions!$B$10</f>
        <v/>
      </c>
      <c r="E7" s="7" t="n">
        <v>0</v>
      </c>
      <c r="F7" s="7" t="n">
        <v>30</v>
      </c>
      <c r="G7" s="7">
        <f>E7+F7</f>
        <v/>
      </c>
      <c r="H7" s="8">
        <f>IF(D7&gt;0,G7/D7,999)</f>
        <v/>
      </c>
      <c r="I7" s="11" t="inlineStr">
        <is>
          <t>Balanced</t>
        </is>
      </c>
      <c r="J7" s="7" t="n">
        <v>0</v>
      </c>
      <c r="K7" s="10">
        <f>J7*L7</f>
        <v/>
      </c>
      <c r="L7" s="7" t="n">
        <v>14.9</v>
      </c>
    </row>
    <row r="8">
      <c r="A8" s="7" t="inlineStr">
        <is>
          <t>SP 30</t>
        </is>
      </c>
      <c r="B8" s="7" t="n">
        <v>30</v>
      </c>
      <c r="C8" s="5" t="n">
        <v>44</v>
      </c>
      <c r="D8" s="8">
        <f>C8/Assumptions!$B$10</f>
        <v/>
      </c>
      <c r="E8" s="7" t="n">
        <v>105</v>
      </c>
      <c r="F8" s="7" t="n">
        <v>21</v>
      </c>
      <c r="G8" s="7">
        <f>E8+F8</f>
        <v/>
      </c>
      <c r="H8" s="8">
        <f>IF(D8&gt;0,G8/D8,999)</f>
        <v/>
      </c>
      <c r="I8" s="9" t="inlineStr">
        <is>
          <t>Heavy</t>
        </is>
      </c>
      <c r="J8" s="7" t="n">
        <v>0</v>
      </c>
      <c r="K8" s="10">
        <f>J8*L8</f>
        <v/>
      </c>
      <c r="L8" s="7" t="n">
        <v>14.9</v>
      </c>
    </row>
    <row r="9">
      <c r="A9" s="7" t="inlineStr">
        <is>
          <t>SP 30</t>
        </is>
      </c>
      <c r="B9" s="7" t="n">
        <v>40</v>
      </c>
      <c r="C9" s="5" t="n">
        <v>11</v>
      </c>
      <c r="D9" s="8">
        <f>C9/Assumptions!$B$10</f>
        <v/>
      </c>
      <c r="E9" s="7" t="n">
        <v>0</v>
      </c>
      <c r="F9" s="7" t="n">
        <v>6</v>
      </c>
      <c r="G9" s="7">
        <f>E9+F9</f>
        <v/>
      </c>
      <c r="H9" s="8">
        <f>IF(D9&gt;0,G9/D9,999)</f>
        <v/>
      </c>
      <c r="I9" s="12" t="inlineStr">
        <is>
          <t>MISSING</t>
        </is>
      </c>
      <c r="J9" s="7" t="n">
        <v>15</v>
      </c>
      <c r="K9" s="10">
        <f>J9*L9</f>
        <v/>
      </c>
      <c r="L9" s="7" t="n">
        <v>14.9</v>
      </c>
    </row>
    <row r="10">
      <c r="A10" s="7" t="inlineStr">
        <is>
          <t>SP 30</t>
        </is>
      </c>
      <c r="B10" s="7" t="n">
        <v>50</v>
      </c>
      <c r="C10" s="5" t="n">
        <v>64</v>
      </c>
      <c r="D10" s="8">
        <f>C10/Assumptions!$B$10</f>
        <v/>
      </c>
      <c r="E10" s="7" t="n">
        <v>0</v>
      </c>
      <c r="F10" s="7" t="n">
        <v>6</v>
      </c>
      <c r="G10" s="7">
        <f>E10+F10</f>
        <v/>
      </c>
      <c r="H10" s="8">
        <f>IF(D10&gt;0,G10/D10,999)</f>
        <v/>
      </c>
      <c r="I10" s="12" t="inlineStr">
        <is>
          <t>MISSING</t>
        </is>
      </c>
      <c r="J10" s="7" t="n">
        <v>105</v>
      </c>
      <c r="K10" s="10">
        <f>J10*L10</f>
        <v/>
      </c>
      <c r="L10" s="7" t="n">
        <v>14.9</v>
      </c>
    </row>
    <row r="11">
      <c r="A11" s="7" t="inlineStr">
        <is>
          <t>SP 30</t>
        </is>
      </c>
      <c r="B11" s="7" t="n">
        <v>60</v>
      </c>
      <c r="C11" s="5" t="n">
        <v>37</v>
      </c>
      <c r="D11" s="8">
        <f>C11/Assumptions!$B$10</f>
        <v/>
      </c>
      <c r="E11" s="7" t="n">
        <v>5</v>
      </c>
      <c r="F11" s="7" t="n">
        <v>10</v>
      </c>
      <c r="G11" s="7">
        <f>E11+F11</f>
        <v/>
      </c>
      <c r="H11" s="8">
        <f>IF(D11&gt;0,G11/D11,999)</f>
        <v/>
      </c>
      <c r="I11" s="12" t="inlineStr">
        <is>
          <t>MISSING</t>
        </is>
      </c>
      <c r="J11" s="7" t="n">
        <v>50</v>
      </c>
      <c r="K11" s="10">
        <f>J11*L11</f>
        <v/>
      </c>
      <c r="L11" s="7" t="n">
        <v>14.9</v>
      </c>
    </row>
    <row r="12">
      <c r="A12" s="7" t="inlineStr">
        <is>
          <t>SP 30</t>
        </is>
      </c>
      <c r="B12" s="7" t="n">
        <v>80</v>
      </c>
      <c r="C12" s="5" t="n">
        <v>128</v>
      </c>
      <c r="D12" s="8">
        <f>C12/Assumptions!$B$10</f>
        <v/>
      </c>
      <c r="E12" s="7" t="n">
        <v>85</v>
      </c>
      <c r="F12" s="7" t="n">
        <v>30</v>
      </c>
      <c r="G12" s="7">
        <f>E12+F12</f>
        <v/>
      </c>
      <c r="H12" s="8">
        <f>IF(D12&gt;0,G12/D12,999)</f>
        <v/>
      </c>
      <c r="I12" s="13" t="inlineStr">
        <is>
          <t>Tight</t>
        </is>
      </c>
      <c r="J12" s="7" t="n">
        <v>105</v>
      </c>
      <c r="K12" s="10">
        <f>J12*L12</f>
        <v/>
      </c>
      <c r="L12" s="7" t="n">
        <v>14.9</v>
      </c>
    </row>
    <row r="13">
      <c r="A13" s="7" t="inlineStr">
        <is>
          <t>SP 30</t>
        </is>
      </c>
      <c r="B13" s="7" t="n">
        <v>100</v>
      </c>
      <c r="C13" s="5" t="n">
        <v>38</v>
      </c>
      <c r="D13" s="8">
        <f>C13/Assumptions!$B$10</f>
        <v/>
      </c>
      <c r="E13" s="7" t="n">
        <v>55</v>
      </c>
      <c r="F13" s="7" t="n">
        <v>200</v>
      </c>
      <c r="G13" s="7">
        <f>E13+F13</f>
        <v/>
      </c>
      <c r="H13" s="8">
        <f>IF(D13&gt;0,G13/D13,999)</f>
        <v/>
      </c>
      <c r="I13" s="9" t="inlineStr">
        <is>
          <t>Heavy</t>
        </is>
      </c>
      <c r="J13" s="7" t="n">
        <v>0</v>
      </c>
      <c r="K13" s="10">
        <f>J13*L13</f>
        <v/>
      </c>
      <c r="L13" s="7" t="n">
        <v>14.9</v>
      </c>
    </row>
    <row r="14">
      <c r="A14" s="7" t="inlineStr">
        <is>
          <t>SP 40</t>
        </is>
      </c>
      <c r="B14" s="7" t="n">
        <v>5</v>
      </c>
      <c r="C14" s="5" t="n">
        <v>52</v>
      </c>
      <c r="D14" s="8">
        <f>C14/Assumptions!$B$10</f>
        <v/>
      </c>
      <c r="E14" s="7" t="n">
        <v>30</v>
      </c>
      <c r="F14" s="7" t="n">
        <v>12</v>
      </c>
      <c r="G14" s="7">
        <f>E14+F14</f>
        <v/>
      </c>
      <c r="H14" s="8">
        <f>IF(D14&gt;0,G14/D14,999)</f>
        <v/>
      </c>
      <c r="I14" s="13" t="inlineStr">
        <is>
          <t>Tight</t>
        </is>
      </c>
      <c r="J14" s="7" t="n">
        <v>50</v>
      </c>
      <c r="K14" s="10">
        <f>J14*L14</f>
        <v/>
      </c>
      <c r="L14" s="7" t="n">
        <v>17.3</v>
      </c>
    </row>
    <row r="15">
      <c r="A15" s="7" t="inlineStr">
        <is>
          <t>SP 40</t>
        </is>
      </c>
      <c r="B15" s="7" t="n">
        <v>7.5</v>
      </c>
      <c r="C15" s="5" t="n">
        <v>120</v>
      </c>
      <c r="D15" s="8">
        <f>C15/Assumptions!$B$10</f>
        <v/>
      </c>
      <c r="E15" s="7" t="n">
        <v>65</v>
      </c>
      <c r="F15" s="7" t="n">
        <v>20</v>
      </c>
      <c r="G15" s="7">
        <f>E15+F15</f>
        <v/>
      </c>
      <c r="H15" s="8">
        <f>IF(D15&gt;0,G15/D15,999)</f>
        <v/>
      </c>
      <c r="I15" s="12" t="inlineStr">
        <is>
          <t>MISSING</t>
        </is>
      </c>
      <c r="J15" s="7" t="n">
        <v>125</v>
      </c>
      <c r="K15" s="10">
        <f>J15*L15</f>
        <v/>
      </c>
      <c r="L15" s="7" t="n">
        <v>17.3</v>
      </c>
    </row>
    <row r="16">
      <c r="A16" s="7" t="inlineStr">
        <is>
          <t>SP 40</t>
        </is>
      </c>
      <c r="B16" s="7" t="n">
        <v>10</v>
      </c>
      <c r="C16" s="5" t="n">
        <v>111</v>
      </c>
      <c r="D16" s="8">
        <f>C16/Assumptions!$B$10</f>
        <v/>
      </c>
      <c r="E16" s="7" t="n">
        <v>13</v>
      </c>
      <c r="F16" s="7" t="n">
        <v>36</v>
      </c>
      <c r="G16" s="7">
        <f>E16+F16</f>
        <v/>
      </c>
      <c r="H16" s="8">
        <f>IF(D16&gt;0,G16/D16,999)</f>
        <v/>
      </c>
      <c r="I16" s="12" t="inlineStr">
        <is>
          <t>MISSING</t>
        </is>
      </c>
      <c r="J16" s="7" t="n">
        <v>145</v>
      </c>
      <c r="K16" s="10">
        <f>J16*L16</f>
        <v/>
      </c>
      <c r="L16" s="7" t="n">
        <v>17.3</v>
      </c>
    </row>
    <row r="17">
      <c r="A17" s="7" t="inlineStr">
        <is>
          <t>SP 40</t>
        </is>
      </c>
      <c r="B17" s="7" t="n">
        <v>15</v>
      </c>
      <c r="C17" s="5" t="n">
        <v>83</v>
      </c>
      <c r="D17" s="8">
        <f>C17/Assumptions!$B$10</f>
        <v/>
      </c>
      <c r="E17" s="7" t="n">
        <v>200</v>
      </c>
      <c r="F17" s="7" t="n">
        <v>71</v>
      </c>
      <c r="G17" s="7">
        <f>E17+F17</f>
        <v/>
      </c>
      <c r="H17" s="8">
        <f>IF(D17&gt;0,G17/D17,999)</f>
        <v/>
      </c>
      <c r="I17" s="9" t="inlineStr">
        <is>
          <t>Heavy</t>
        </is>
      </c>
      <c r="J17" s="7" t="n">
        <v>0</v>
      </c>
      <c r="K17" s="10">
        <f>J17*L17</f>
        <v/>
      </c>
      <c r="L17" s="7" t="n">
        <v>17.3</v>
      </c>
    </row>
    <row r="18">
      <c r="A18" s="7" t="inlineStr">
        <is>
          <t>SP 40</t>
        </is>
      </c>
      <c r="B18" s="7" t="n">
        <v>20</v>
      </c>
      <c r="C18" s="5" t="n">
        <v>299</v>
      </c>
      <c r="D18" s="8">
        <f>C18/Assumptions!$B$10</f>
        <v/>
      </c>
      <c r="E18" s="7" t="n">
        <v>125</v>
      </c>
      <c r="F18" s="7" t="n">
        <v>172</v>
      </c>
      <c r="G18" s="7">
        <f>E18+F18</f>
        <v/>
      </c>
      <c r="H18" s="8">
        <f>IF(D18&gt;0,G18/D18,999)</f>
        <v/>
      </c>
      <c r="I18" s="13" t="inlineStr">
        <is>
          <t>Tight</t>
        </is>
      </c>
      <c r="J18" s="7" t="n">
        <v>220</v>
      </c>
      <c r="K18" s="10">
        <f>J18*L18</f>
        <v/>
      </c>
      <c r="L18" s="7" t="n">
        <v>17.3</v>
      </c>
    </row>
    <row r="19">
      <c r="A19" s="7" t="inlineStr">
        <is>
          <t>SP 40</t>
        </is>
      </c>
      <c r="B19" s="7" t="n">
        <v>25</v>
      </c>
      <c r="C19" s="5" t="n">
        <v>311</v>
      </c>
      <c r="D19" s="8">
        <f>C19/Assumptions!$B$10</f>
        <v/>
      </c>
      <c r="E19" s="7" t="n">
        <v>55</v>
      </c>
      <c r="F19" s="7" t="n">
        <v>66</v>
      </c>
      <c r="G19" s="7">
        <f>E19+F19</f>
        <v/>
      </c>
      <c r="H19" s="8">
        <f>IF(D19&gt;0,G19/D19,999)</f>
        <v/>
      </c>
      <c r="I19" s="12" t="inlineStr">
        <is>
          <t>MISSING</t>
        </is>
      </c>
      <c r="J19" s="7" t="n">
        <v>415</v>
      </c>
      <c r="K19" s="10">
        <f>J19*L19</f>
        <v/>
      </c>
      <c r="L19" s="7" t="n">
        <v>17.3</v>
      </c>
    </row>
    <row r="20">
      <c r="A20" s="7" t="inlineStr">
        <is>
          <t>SP 40</t>
        </is>
      </c>
      <c r="B20" s="7" t="n">
        <v>30</v>
      </c>
      <c r="C20" s="5" t="n">
        <v>101</v>
      </c>
      <c r="D20" s="8">
        <f>C20/Assumptions!$B$10</f>
        <v/>
      </c>
      <c r="E20" s="7" t="n">
        <v>65</v>
      </c>
      <c r="F20" s="7" t="n">
        <v>11</v>
      </c>
      <c r="G20" s="7">
        <f>E20+F20</f>
        <v/>
      </c>
      <c r="H20" s="8">
        <f>IF(D20&gt;0,G20/D20,999)</f>
        <v/>
      </c>
      <c r="I20" s="13" t="inlineStr">
        <is>
          <t>Tight</t>
        </is>
      </c>
      <c r="J20" s="7" t="n">
        <v>100</v>
      </c>
      <c r="K20" s="10">
        <f>J20*L20</f>
        <v/>
      </c>
      <c r="L20" s="7" t="n">
        <v>17.3</v>
      </c>
    </row>
    <row r="21">
      <c r="A21" s="7" t="inlineStr">
        <is>
          <t>SP 40</t>
        </is>
      </c>
      <c r="B21" s="7" t="n">
        <v>40</v>
      </c>
      <c r="C21" s="5" t="n">
        <v>821</v>
      </c>
      <c r="D21" s="8">
        <f>C21/Assumptions!$B$10</f>
        <v/>
      </c>
      <c r="E21" s="7" t="n">
        <v>40</v>
      </c>
      <c r="F21" s="7" t="n">
        <v>0</v>
      </c>
      <c r="G21" s="7">
        <f>E21+F21</f>
        <v/>
      </c>
      <c r="H21" s="8">
        <f>IF(D21&gt;0,G21/D21,999)</f>
        <v/>
      </c>
      <c r="I21" s="12" t="inlineStr">
        <is>
          <t>MISSING</t>
        </is>
      </c>
      <c r="J21" s="7" t="n">
        <v>1370</v>
      </c>
      <c r="K21" s="10">
        <f>J21*L21</f>
        <v/>
      </c>
      <c r="L21" s="7" t="n">
        <v>17.3</v>
      </c>
    </row>
    <row r="22">
      <c r="A22" s="7" t="inlineStr">
        <is>
          <t>SP 40</t>
        </is>
      </c>
      <c r="B22" s="7" t="n">
        <v>50</v>
      </c>
      <c r="C22" s="5" t="n">
        <v>321</v>
      </c>
      <c r="D22" s="8">
        <f>C22/Assumptions!$B$10</f>
        <v/>
      </c>
      <c r="E22" s="7" t="n">
        <v>231</v>
      </c>
      <c r="F22" s="7" t="n">
        <v>210</v>
      </c>
      <c r="G22" s="7">
        <f>E22+F22</f>
        <v/>
      </c>
      <c r="H22" s="8">
        <f>IF(D22&gt;0,G22/D22,999)</f>
        <v/>
      </c>
      <c r="I22" s="11" t="inlineStr">
        <is>
          <t>Balanced</t>
        </is>
      </c>
      <c r="J22" s="7" t="n">
        <v>110</v>
      </c>
      <c r="K22" s="10">
        <f>J22*L22</f>
        <v/>
      </c>
      <c r="L22" s="7" t="n">
        <v>17.3</v>
      </c>
    </row>
    <row r="23">
      <c r="A23" s="7" t="inlineStr">
        <is>
          <t>SP 40</t>
        </is>
      </c>
      <c r="B23" s="7" t="n">
        <v>60</v>
      </c>
      <c r="C23" s="5" t="n">
        <v>236</v>
      </c>
      <c r="D23" s="8">
        <f>C23/Assumptions!$B$10</f>
        <v/>
      </c>
      <c r="E23" s="7" t="n">
        <v>5</v>
      </c>
      <c r="F23" s="7" t="n">
        <v>0</v>
      </c>
      <c r="G23" s="7">
        <f>E23+F23</f>
        <v/>
      </c>
      <c r="H23" s="8">
        <f>IF(D23&gt;0,G23/D23,999)</f>
        <v/>
      </c>
      <c r="I23" s="12" t="inlineStr">
        <is>
          <t>MISSING</t>
        </is>
      </c>
      <c r="J23" s="7" t="n">
        <v>400</v>
      </c>
      <c r="K23" s="10">
        <f>J23*L23</f>
        <v/>
      </c>
      <c r="L23" s="7" t="n">
        <v>17.3</v>
      </c>
    </row>
    <row r="24">
      <c r="A24" s="7" t="inlineStr">
        <is>
          <t>SP 40</t>
        </is>
      </c>
      <c r="B24" s="7" t="n">
        <v>80</v>
      </c>
      <c r="C24" s="5" t="n">
        <v>52</v>
      </c>
      <c r="D24" s="8">
        <f>C24/Assumptions!$B$10</f>
        <v/>
      </c>
      <c r="E24" s="7" t="n">
        <v>0</v>
      </c>
      <c r="F24" s="7" t="n">
        <v>30</v>
      </c>
      <c r="G24" s="7">
        <f>E24+F24</f>
        <v/>
      </c>
      <c r="H24" s="8">
        <f>IF(D24&gt;0,G24/D24,999)</f>
        <v/>
      </c>
      <c r="I24" s="12" t="inlineStr">
        <is>
          <t>MISSING</t>
        </is>
      </c>
      <c r="J24" s="7" t="n">
        <v>60</v>
      </c>
      <c r="K24" s="10">
        <f>J24*L24</f>
        <v/>
      </c>
      <c r="L24" s="7" t="n">
        <v>17.3</v>
      </c>
    </row>
    <row r="25">
      <c r="A25" s="7" t="inlineStr">
        <is>
          <t>SP 40</t>
        </is>
      </c>
      <c r="B25" s="7" t="n">
        <v>100</v>
      </c>
      <c r="C25" s="5" t="n">
        <v>148</v>
      </c>
      <c r="D25" s="8">
        <f>C25/Assumptions!$B$10</f>
        <v/>
      </c>
      <c r="E25" s="7" t="n">
        <v>20</v>
      </c>
      <c r="F25" s="7" t="n">
        <v>330</v>
      </c>
      <c r="G25" s="7">
        <f>E25+F25</f>
        <v/>
      </c>
      <c r="H25" s="8">
        <f>IF(D25&gt;0,G25/D25,999)</f>
        <v/>
      </c>
      <c r="I25" s="9" t="inlineStr">
        <is>
          <t>Heavy</t>
        </is>
      </c>
      <c r="J25" s="7" t="n">
        <v>0</v>
      </c>
      <c r="K25" s="10">
        <f>J25*L25</f>
        <v/>
      </c>
      <c r="L25" s="7" t="n">
        <v>17.3</v>
      </c>
    </row>
    <row r="26">
      <c r="A26" s="7" t="inlineStr">
        <is>
          <t>SP 50</t>
        </is>
      </c>
      <c r="B26" s="7" t="n">
        <v>5</v>
      </c>
      <c r="C26" s="5" t="n">
        <v>93</v>
      </c>
      <c r="D26" s="8">
        <f>C26/Assumptions!$B$10</f>
        <v/>
      </c>
      <c r="E26" s="7" t="n">
        <v>25</v>
      </c>
      <c r="F26" s="7" t="n">
        <v>32</v>
      </c>
      <c r="G26" s="7">
        <f>E26+F26</f>
        <v/>
      </c>
      <c r="H26" s="8">
        <f>IF(D26&gt;0,G26/D26,999)</f>
        <v/>
      </c>
      <c r="I26" s="12" t="inlineStr">
        <is>
          <t>MISSING</t>
        </is>
      </c>
      <c r="J26" s="7" t="n">
        <v>105</v>
      </c>
      <c r="K26" s="10">
        <f>J26*L26</f>
        <v/>
      </c>
      <c r="L26" s="7" t="n">
        <v>26</v>
      </c>
    </row>
    <row r="27">
      <c r="A27" s="7" t="inlineStr">
        <is>
          <t>SP 50</t>
        </is>
      </c>
      <c r="B27" s="7" t="n">
        <v>7.5</v>
      </c>
      <c r="C27" s="5" t="n">
        <v>219</v>
      </c>
      <c r="D27" s="8">
        <f>C27/Assumptions!$B$10</f>
        <v/>
      </c>
      <c r="E27" s="7" t="n">
        <v>212</v>
      </c>
      <c r="F27" s="7" t="n">
        <v>64</v>
      </c>
      <c r="G27" s="7">
        <f>E27+F27</f>
        <v/>
      </c>
      <c r="H27" s="8">
        <f>IF(D27&gt;0,G27/D27,999)</f>
        <v/>
      </c>
      <c r="I27" s="11" t="inlineStr">
        <is>
          <t>Balanced</t>
        </is>
      </c>
      <c r="J27" s="7" t="n">
        <v>100</v>
      </c>
      <c r="K27" s="10">
        <f>J27*L27</f>
        <v/>
      </c>
      <c r="L27" s="7" t="n">
        <v>26</v>
      </c>
    </row>
    <row r="28">
      <c r="A28" s="7" t="inlineStr">
        <is>
          <t>SP 50</t>
        </is>
      </c>
      <c r="B28" s="7" t="n">
        <v>10</v>
      </c>
      <c r="C28" s="5" t="n">
        <v>225</v>
      </c>
      <c r="D28" s="8">
        <f>C28/Assumptions!$B$10</f>
        <v/>
      </c>
      <c r="E28" s="7" t="n">
        <v>19</v>
      </c>
      <c r="F28" s="7" t="n">
        <v>6</v>
      </c>
      <c r="G28" s="7">
        <f>E28+F28</f>
        <v/>
      </c>
      <c r="H28" s="8">
        <f>IF(D28&gt;0,G28/D28,999)</f>
        <v/>
      </c>
      <c r="I28" s="12" t="inlineStr">
        <is>
          <t>MISSING</t>
        </is>
      </c>
      <c r="J28" s="7" t="n">
        <v>365</v>
      </c>
      <c r="K28" s="10">
        <f>J28*L28</f>
        <v/>
      </c>
      <c r="L28" s="7" t="n">
        <v>26</v>
      </c>
    </row>
    <row r="29">
      <c r="A29" s="7" t="inlineStr">
        <is>
          <t>SP 50</t>
        </is>
      </c>
      <c r="B29" s="7" t="n">
        <v>15</v>
      </c>
      <c r="C29" s="5" t="n">
        <v>323</v>
      </c>
      <c r="D29" s="8">
        <f>C29/Assumptions!$B$10</f>
        <v/>
      </c>
      <c r="E29" s="7" t="n">
        <v>269</v>
      </c>
      <c r="F29" s="7" t="n">
        <v>334</v>
      </c>
      <c r="G29" s="7">
        <f>E29+F29</f>
        <v/>
      </c>
      <c r="H29" s="8">
        <f>IF(D29&gt;0,G29/D29,999)</f>
        <v/>
      </c>
      <c r="I29" s="11" t="inlineStr">
        <is>
          <t>Balanced</t>
        </is>
      </c>
      <c r="J29" s="7" t="n">
        <v>0</v>
      </c>
      <c r="K29" s="10">
        <f>J29*L29</f>
        <v/>
      </c>
      <c r="L29" s="7" t="n">
        <v>26</v>
      </c>
    </row>
    <row r="30">
      <c r="A30" s="7" t="inlineStr">
        <is>
          <t>SP 50</t>
        </is>
      </c>
      <c r="B30" s="7" t="n">
        <v>20</v>
      </c>
      <c r="C30" s="5" t="n">
        <v>241</v>
      </c>
      <c r="D30" s="8">
        <f>C30/Assumptions!$B$10</f>
        <v/>
      </c>
      <c r="E30" s="7" t="n">
        <v>73</v>
      </c>
      <c r="F30" s="7" t="n">
        <v>87</v>
      </c>
      <c r="G30" s="7">
        <f>E30+F30</f>
        <v/>
      </c>
      <c r="H30" s="8">
        <f>IF(D30&gt;0,G30/D30,999)</f>
        <v/>
      </c>
      <c r="I30" s="12" t="inlineStr">
        <is>
          <t>MISSING</t>
        </is>
      </c>
      <c r="J30" s="7" t="n">
        <v>255</v>
      </c>
      <c r="K30" s="10">
        <f>J30*L30</f>
        <v/>
      </c>
      <c r="L30" s="7" t="n">
        <v>26</v>
      </c>
    </row>
    <row r="31">
      <c r="A31" s="7" t="inlineStr">
        <is>
          <t>SP 50</t>
        </is>
      </c>
      <c r="B31" s="7" t="n">
        <v>25</v>
      </c>
      <c r="C31" s="5" t="n">
        <v>245</v>
      </c>
      <c r="D31" s="8">
        <f>C31/Assumptions!$B$10</f>
        <v/>
      </c>
      <c r="E31" s="7" t="n">
        <v>140</v>
      </c>
      <c r="F31" s="7" t="n">
        <v>66</v>
      </c>
      <c r="G31" s="7">
        <f>E31+F31</f>
        <v/>
      </c>
      <c r="H31" s="8">
        <f>IF(D31&gt;0,G31/D31,999)</f>
        <v/>
      </c>
      <c r="I31" s="13" t="inlineStr">
        <is>
          <t>Tight</t>
        </is>
      </c>
      <c r="J31" s="7" t="n">
        <v>215</v>
      </c>
      <c r="K31" s="10">
        <f>J31*L31</f>
        <v/>
      </c>
      <c r="L31" s="7" t="n">
        <v>26</v>
      </c>
    </row>
    <row r="32">
      <c r="A32" s="7" t="inlineStr">
        <is>
          <t>SP 50</t>
        </is>
      </c>
      <c r="B32" s="7" t="n">
        <v>30</v>
      </c>
      <c r="C32" s="5" t="n">
        <v>316</v>
      </c>
      <c r="D32" s="8">
        <f>C32/Assumptions!$B$10</f>
        <v/>
      </c>
      <c r="E32" s="7" t="n">
        <v>75</v>
      </c>
      <c r="F32" s="7" t="n">
        <v>24</v>
      </c>
      <c r="G32" s="7">
        <f>E32+F32</f>
        <v/>
      </c>
      <c r="H32" s="8">
        <f>IF(D32&gt;0,G32/D32,999)</f>
        <v/>
      </c>
      <c r="I32" s="12" t="inlineStr">
        <is>
          <t>MISSING</t>
        </is>
      </c>
      <c r="J32" s="7" t="n">
        <v>445</v>
      </c>
      <c r="K32" s="10">
        <f>J32*L32</f>
        <v/>
      </c>
      <c r="L32" s="7" t="n">
        <v>26</v>
      </c>
    </row>
    <row r="33">
      <c r="A33" s="7" t="inlineStr">
        <is>
          <t>SP 50</t>
        </is>
      </c>
      <c r="B33" s="7" t="n">
        <v>40</v>
      </c>
      <c r="C33" s="5" t="n">
        <v>273</v>
      </c>
      <c r="D33" s="8">
        <f>C33/Assumptions!$B$10</f>
        <v/>
      </c>
      <c r="E33" s="7" t="n">
        <v>105</v>
      </c>
      <c r="F33" s="7" t="n">
        <v>162</v>
      </c>
      <c r="G33" s="7">
        <f>E33+F33</f>
        <v/>
      </c>
      <c r="H33" s="8">
        <f>IF(D33&gt;0,G33/D33,999)</f>
        <v/>
      </c>
      <c r="I33" s="13" t="inlineStr">
        <is>
          <t>Tight</t>
        </is>
      </c>
      <c r="J33" s="7" t="n">
        <v>205</v>
      </c>
      <c r="K33" s="10">
        <f>J33*L33</f>
        <v/>
      </c>
      <c r="L33" s="7" t="n">
        <v>26</v>
      </c>
    </row>
    <row r="34">
      <c r="A34" s="7" t="inlineStr">
        <is>
          <t>SP 50</t>
        </is>
      </c>
      <c r="B34" s="7" t="n">
        <v>50</v>
      </c>
      <c r="C34" s="5" t="n">
        <v>198</v>
      </c>
      <c r="D34" s="8">
        <f>C34/Assumptions!$B$10</f>
        <v/>
      </c>
      <c r="E34" s="7" t="n">
        <v>269</v>
      </c>
      <c r="F34" s="7" t="n">
        <v>295</v>
      </c>
      <c r="G34" s="7">
        <f>E34+F34</f>
        <v/>
      </c>
      <c r="H34" s="8">
        <f>IF(D34&gt;0,G34/D34,999)</f>
        <v/>
      </c>
      <c r="I34" s="9" t="inlineStr">
        <is>
          <t>Heavy</t>
        </is>
      </c>
      <c r="J34" s="7" t="n">
        <v>0</v>
      </c>
      <c r="K34" s="10">
        <f>J34*L34</f>
        <v/>
      </c>
      <c r="L34" s="7" t="n">
        <v>26</v>
      </c>
    </row>
    <row r="35">
      <c r="A35" s="7" t="inlineStr">
        <is>
          <t>SP 50</t>
        </is>
      </c>
      <c r="B35" s="7" t="n">
        <v>60</v>
      </c>
      <c r="C35" s="5" t="n">
        <v>37</v>
      </c>
      <c r="D35" s="8">
        <f>C35/Assumptions!$B$10</f>
        <v/>
      </c>
      <c r="E35" s="7" t="n">
        <v>65</v>
      </c>
      <c r="F35" s="7" t="n">
        <v>126</v>
      </c>
      <c r="G35" s="7">
        <f>E35+F35</f>
        <v/>
      </c>
      <c r="H35" s="8">
        <f>IF(D35&gt;0,G35/D35,999)</f>
        <v/>
      </c>
      <c r="I35" s="9" t="inlineStr">
        <is>
          <t>Heavy</t>
        </is>
      </c>
      <c r="J35" s="7" t="n">
        <v>0</v>
      </c>
      <c r="K35" s="10">
        <f>J35*L35</f>
        <v/>
      </c>
      <c r="L35" s="7" t="n">
        <v>26</v>
      </c>
    </row>
    <row r="36">
      <c r="A36" s="7" t="inlineStr">
        <is>
          <t>SP 50</t>
        </is>
      </c>
      <c r="B36" s="7" t="n">
        <v>80</v>
      </c>
      <c r="C36" s="5" t="n">
        <v>111</v>
      </c>
      <c r="D36" s="8">
        <f>C36/Assumptions!$B$10</f>
        <v/>
      </c>
      <c r="E36" s="7" t="n">
        <v>10</v>
      </c>
      <c r="F36" s="7" t="n">
        <v>30</v>
      </c>
      <c r="G36" s="7">
        <f>E36+F36</f>
        <v/>
      </c>
      <c r="H36" s="8">
        <f>IF(D36&gt;0,G36/D36,999)</f>
        <v/>
      </c>
      <c r="I36" s="12" t="inlineStr">
        <is>
          <t>MISSING</t>
        </is>
      </c>
      <c r="J36" s="7" t="n">
        <v>155</v>
      </c>
      <c r="K36" s="10">
        <f>J36*L36</f>
        <v/>
      </c>
      <c r="L36" s="7" t="n">
        <v>26</v>
      </c>
    </row>
    <row r="37">
      <c r="A37" s="7" t="inlineStr">
        <is>
          <t>SP 50</t>
        </is>
      </c>
      <c r="B37" s="7" t="n">
        <v>100</v>
      </c>
      <c r="C37" s="5" t="n">
        <v>457</v>
      </c>
      <c r="D37" s="8">
        <f>C37/Assumptions!$B$10</f>
        <v/>
      </c>
      <c r="E37" s="7" t="n">
        <v>1227</v>
      </c>
      <c r="F37" s="7" t="n">
        <v>759</v>
      </c>
      <c r="G37" s="7">
        <f>E37+F37</f>
        <v/>
      </c>
      <c r="H37" s="8">
        <f>IF(D37&gt;0,G37/D37,999)</f>
        <v/>
      </c>
      <c r="I37" s="9" t="inlineStr">
        <is>
          <t>Heavy</t>
        </is>
      </c>
      <c r="J37" s="7" t="n">
        <v>0</v>
      </c>
      <c r="K37" s="10">
        <f>J37*L37</f>
        <v/>
      </c>
      <c r="L37" s="7" t="n">
        <v>26</v>
      </c>
    </row>
    <row r="38">
      <c r="A38" s="7" t="inlineStr">
        <is>
          <t>SP 63</t>
        </is>
      </c>
      <c r="B38" s="7" t="n">
        <v>5</v>
      </c>
      <c r="C38" s="5" t="n">
        <v>22</v>
      </c>
      <c r="D38" s="8">
        <f>C38/Assumptions!$B$10</f>
        <v/>
      </c>
      <c r="E38" s="7" t="n">
        <v>24</v>
      </c>
      <c r="F38" s="7" t="n">
        <v>66</v>
      </c>
      <c r="G38" s="7">
        <f>E38+F38</f>
        <v/>
      </c>
      <c r="H38" s="8">
        <f>IF(D38&gt;0,G38/D38,999)</f>
        <v/>
      </c>
      <c r="I38" s="9" t="inlineStr">
        <is>
          <t>Heavy</t>
        </is>
      </c>
      <c r="J38" s="7" t="n">
        <v>0</v>
      </c>
      <c r="K38" s="10">
        <f>J38*L38</f>
        <v/>
      </c>
      <c r="L38" s="7" t="n">
        <v>35.5</v>
      </c>
    </row>
    <row r="39">
      <c r="A39" s="7" t="inlineStr">
        <is>
          <t>SP 63</t>
        </is>
      </c>
      <c r="B39" s="7" t="n">
        <v>7.5</v>
      </c>
      <c r="C39" s="5" t="n">
        <v>143</v>
      </c>
      <c r="D39" s="8">
        <f>C39/Assumptions!$B$10</f>
        <v/>
      </c>
      <c r="E39" s="7" t="n">
        <v>10</v>
      </c>
      <c r="F39" s="7" t="n">
        <v>156</v>
      </c>
      <c r="G39" s="7">
        <f>E39+F39</f>
        <v/>
      </c>
      <c r="H39" s="8">
        <f>IF(D39&gt;0,G39/D39,999)</f>
        <v/>
      </c>
      <c r="I39" s="11" t="inlineStr">
        <is>
          <t>Balanced</t>
        </is>
      </c>
      <c r="J39" s="7" t="n">
        <v>80</v>
      </c>
      <c r="K39" s="10">
        <f>J39*L39</f>
        <v/>
      </c>
      <c r="L39" s="7" t="n">
        <v>35.5</v>
      </c>
    </row>
    <row r="40">
      <c r="A40" s="7" t="inlineStr">
        <is>
          <t>SP 63</t>
        </is>
      </c>
      <c r="B40" s="7" t="n">
        <v>10</v>
      </c>
      <c r="C40" s="5" t="n">
        <v>180</v>
      </c>
      <c r="D40" s="8">
        <f>C40/Assumptions!$B$10</f>
        <v/>
      </c>
      <c r="E40" s="7" t="n">
        <v>10</v>
      </c>
      <c r="F40" s="7" t="n">
        <v>29</v>
      </c>
      <c r="G40" s="7">
        <f>E40+F40</f>
        <v/>
      </c>
      <c r="H40" s="8">
        <f>IF(D40&gt;0,G40/D40,999)</f>
        <v/>
      </c>
      <c r="I40" s="12" t="inlineStr">
        <is>
          <t>MISSING</t>
        </is>
      </c>
      <c r="J40" s="7" t="n">
        <v>270</v>
      </c>
      <c r="K40" s="10">
        <f>J40*L40</f>
        <v/>
      </c>
      <c r="L40" s="7" t="n">
        <v>35.5</v>
      </c>
    </row>
    <row r="41">
      <c r="A41" s="7" t="inlineStr">
        <is>
          <t>SP 63</t>
        </is>
      </c>
      <c r="B41" s="7" t="n">
        <v>15</v>
      </c>
      <c r="C41" s="5" t="n">
        <v>258</v>
      </c>
      <c r="D41" s="8">
        <f>C41/Assumptions!$B$10</f>
        <v/>
      </c>
      <c r="E41" s="7" t="n">
        <v>35</v>
      </c>
      <c r="F41" s="7" t="n">
        <v>282</v>
      </c>
      <c r="G41" s="7">
        <f>E41+F41</f>
        <v/>
      </c>
      <c r="H41" s="8">
        <f>IF(D41&gt;0,G41/D41,999)</f>
        <v/>
      </c>
      <c r="I41" s="11" t="inlineStr">
        <is>
          <t>Balanced</t>
        </is>
      </c>
      <c r="J41" s="7" t="n">
        <v>130</v>
      </c>
      <c r="K41" s="10">
        <f>J41*L41</f>
        <v/>
      </c>
      <c r="L41" s="7" t="n">
        <v>35.5</v>
      </c>
    </row>
    <row r="42">
      <c r="A42" s="7" t="inlineStr">
        <is>
          <t>SP 63</t>
        </is>
      </c>
      <c r="B42" s="7" t="n">
        <v>20</v>
      </c>
      <c r="C42" s="5" t="n">
        <v>242</v>
      </c>
      <c r="D42" s="8">
        <f>C42/Assumptions!$B$10</f>
        <v/>
      </c>
      <c r="E42" s="7" t="n">
        <v>87</v>
      </c>
      <c r="F42" s="7" t="n">
        <v>219</v>
      </c>
      <c r="G42" s="7">
        <f>E42+F42</f>
        <v/>
      </c>
      <c r="H42" s="8">
        <f>IF(D42&gt;0,G42/D42,999)</f>
        <v/>
      </c>
      <c r="I42" s="11" t="inlineStr">
        <is>
          <t>Balanced</t>
        </is>
      </c>
      <c r="J42" s="7" t="n">
        <v>110</v>
      </c>
      <c r="K42" s="10">
        <f>J42*L42</f>
        <v/>
      </c>
      <c r="L42" s="7" t="n">
        <v>35.5</v>
      </c>
    </row>
    <row r="43">
      <c r="A43" s="7" t="inlineStr">
        <is>
          <t>SP 63</t>
        </is>
      </c>
      <c r="B43" s="7" t="n">
        <v>25</v>
      </c>
      <c r="C43" s="5" t="n">
        <v>229</v>
      </c>
      <c r="D43" s="8">
        <f>C43/Assumptions!$B$10</f>
        <v/>
      </c>
      <c r="E43" s="7" t="n">
        <v>179</v>
      </c>
      <c r="F43" s="7" t="n">
        <v>85</v>
      </c>
      <c r="G43" s="7">
        <f>E43+F43</f>
        <v/>
      </c>
      <c r="H43" s="8">
        <f>IF(D43&gt;0,G43/D43,999)</f>
        <v/>
      </c>
      <c r="I43" s="11" t="inlineStr">
        <is>
          <t>Balanced</t>
        </is>
      </c>
      <c r="J43" s="7" t="n">
        <v>130</v>
      </c>
      <c r="K43" s="10">
        <f>J43*L43</f>
        <v/>
      </c>
      <c r="L43" s="7" t="n">
        <v>35.5</v>
      </c>
    </row>
    <row r="44">
      <c r="A44" s="7" t="inlineStr">
        <is>
          <t>SP 63</t>
        </is>
      </c>
      <c r="B44" s="7" t="n">
        <v>30</v>
      </c>
      <c r="C44" s="5" t="n">
        <v>444</v>
      </c>
      <c r="D44" s="8">
        <f>C44/Assumptions!$B$10</f>
        <v/>
      </c>
      <c r="E44" s="7" t="n">
        <v>154</v>
      </c>
      <c r="F44" s="7" t="n">
        <v>167</v>
      </c>
      <c r="G44" s="7">
        <f>E44+F44</f>
        <v/>
      </c>
      <c r="H44" s="8">
        <f>IF(D44&gt;0,G44/D44,999)</f>
        <v/>
      </c>
      <c r="I44" s="13" t="inlineStr">
        <is>
          <t>Tight</t>
        </is>
      </c>
      <c r="J44" s="7" t="n">
        <v>445</v>
      </c>
      <c r="K44" s="10">
        <f>J44*L44</f>
        <v/>
      </c>
      <c r="L44" s="7" t="n">
        <v>35.5</v>
      </c>
    </row>
    <row r="45">
      <c r="A45" s="7" t="inlineStr">
        <is>
          <t>SP 63</t>
        </is>
      </c>
      <c r="B45" s="7" t="n">
        <v>40</v>
      </c>
      <c r="C45" s="5" t="n">
        <v>218</v>
      </c>
      <c r="D45" s="8">
        <f>C45/Assumptions!$B$10</f>
        <v/>
      </c>
      <c r="E45" s="7" t="n">
        <v>15</v>
      </c>
      <c r="F45" s="7" t="n">
        <v>40</v>
      </c>
      <c r="G45" s="7">
        <f>E45+F45</f>
        <v/>
      </c>
      <c r="H45" s="8">
        <f>IF(D45&gt;0,G45/D45,999)</f>
        <v/>
      </c>
      <c r="I45" s="12" t="inlineStr">
        <is>
          <t>MISSING</t>
        </is>
      </c>
      <c r="J45" s="7" t="n">
        <v>320</v>
      </c>
      <c r="K45" s="10">
        <f>J45*L45</f>
        <v/>
      </c>
      <c r="L45" s="7" t="n">
        <v>35.5</v>
      </c>
    </row>
    <row r="46">
      <c r="A46" s="7" t="inlineStr">
        <is>
          <t>SP 63</t>
        </is>
      </c>
      <c r="B46" s="7" t="n">
        <v>50</v>
      </c>
      <c r="C46" s="5" t="n">
        <v>157</v>
      </c>
      <c r="D46" s="8">
        <f>C46/Assumptions!$B$10</f>
        <v/>
      </c>
      <c r="E46" s="7" t="n">
        <v>104</v>
      </c>
      <c r="F46" s="7" t="n">
        <v>590</v>
      </c>
      <c r="G46" s="7">
        <f>E46+F46</f>
        <v/>
      </c>
      <c r="H46" s="8">
        <f>IF(D46&gt;0,G46/D46,999)</f>
        <v/>
      </c>
      <c r="I46" s="9" t="inlineStr">
        <is>
          <t>Heavy</t>
        </is>
      </c>
      <c r="J46" s="7" t="n">
        <v>0</v>
      </c>
      <c r="K46" s="10">
        <f>J46*L46</f>
        <v/>
      </c>
      <c r="L46" s="7" t="n">
        <v>35.5</v>
      </c>
    </row>
    <row r="47">
      <c r="A47" s="7" t="inlineStr">
        <is>
          <t>SP 63</t>
        </is>
      </c>
      <c r="B47" s="7" t="n">
        <v>60</v>
      </c>
      <c r="C47" s="5" t="n">
        <v>238</v>
      </c>
      <c r="D47" s="8">
        <f>C47/Assumptions!$B$10</f>
        <v/>
      </c>
      <c r="E47" s="7" t="n">
        <v>13</v>
      </c>
      <c r="F47" s="7" t="n">
        <v>10</v>
      </c>
      <c r="G47" s="7">
        <f>E47+F47</f>
        <v/>
      </c>
      <c r="H47" s="8">
        <f>IF(D47&gt;0,G47/D47,999)</f>
        <v/>
      </c>
      <c r="I47" s="12" t="inlineStr">
        <is>
          <t>MISSING</t>
        </is>
      </c>
      <c r="J47" s="7" t="n">
        <v>385</v>
      </c>
      <c r="K47" s="10">
        <f>J47*L47</f>
        <v/>
      </c>
      <c r="L47" s="7" t="n">
        <v>35.5</v>
      </c>
    </row>
    <row r="48">
      <c r="A48" s="7" t="inlineStr">
        <is>
          <t>SP 63</t>
        </is>
      </c>
      <c r="B48" s="7" t="n">
        <v>80</v>
      </c>
      <c r="C48" s="5" t="n">
        <v>91</v>
      </c>
      <c r="D48" s="8">
        <f>C48/Assumptions!$B$10</f>
        <v/>
      </c>
      <c r="E48" s="7" t="n">
        <v>115</v>
      </c>
      <c r="F48" s="7" t="n">
        <v>50</v>
      </c>
      <c r="G48" s="7">
        <f>E48+F48</f>
        <v/>
      </c>
      <c r="H48" s="8">
        <f>IF(D48&gt;0,G48/D48,999)</f>
        <v/>
      </c>
      <c r="I48" s="11" t="inlineStr">
        <is>
          <t>Balanced</t>
        </is>
      </c>
      <c r="J48" s="7" t="n">
        <v>0</v>
      </c>
      <c r="K48" s="10">
        <f>J48*L48</f>
        <v/>
      </c>
      <c r="L48" s="7" t="n">
        <v>35.5</v>
      </c>
    </row>
    <row r="49">
      <c r="A49" s="7" t="inlineStr">
        <is>
          <t>SP 63</t>
        </is>
      </c>
      <c r="B49" s="7" t="n">
        <v>100</v>
      </c>
      <c r="C49" s="5" t="n">
        <v>170</v>
      </c>
      <c r="D49" s="8">
        <f>C49/Assumptions!$B$10</f>
        <v/>
      </c>
      <c r="E49" s="7" t="n">
        <v>366</v>
      </c>
      <c r="F49" s="7" t="n">
        <v>300</v>
      </c>
      <c r="G49" s="7">
        <f>E49+F49</f>
        <v/>
      </c>
      <c r="H49" s="8">
        <f>IF(D49&gt;0,G49/D49,999)</f>
        <v/>
      </c>
      <c r="I49" s="9" t="inlineStr">
        <is>
          <t>Heavy</t>
        </is>
      </c>
      <c r="J49" s="7" t="n">
        <v>0</v>
      </c>
      <c r="K49" s="10">
        <f>J49*L49</f>
        <v/>
      </c>
      <c r="L49" s="7" t="n">
        <v>35.5</v>
      </c>
    </row>
    <row r="50">
      <c r="A50" s="7" t="inlineStr">
        <is>
          <t>SP 75</t>
        </is>
      </c>
      <c r="B50" s="7" t="n">
        <v>5</v>
      </c>
      <c r="C50" s="5" t="n">
        <v>4</v>
      </c>
      <c r="D50" s="8">
        <f>C50/Assumptions!$B$10</f>
        <v/>
      </c>
      <c r="E50" s="7" t="n">
        <v>0</v>
      </c>
      <c r="F50" s="7" t="n">
        <v>0</v>
      </c>
      <c r="G50" s="7">
        <f>E50+F50</f>
        <v/>
      </c>
      <c r="H50" s="8">
        <f>IF(D50&gt;0,G50/D50,999)</f>
        <v/>
      </c>
      <c r="I50" s="14" t="inlineStr">
        <is>
          <t>NOT STOCKED</t>
        </is>
      </c>
      <c r="J50" s="7" t="n">
        <v>10</v>
      </c>
      <c r="K50" s="10">
        <f>J50*L50</f>
        <v/>
      </c>
      <c r="L50" s="7" t="n">
        <v>52</v>
      </c>
    </row>
    <row r="51">
      <c r="A51" s="7" t="inlineStr">
        <is>
          <t>SP 75</t>
        </is>
      </c>
      <c r="B51" s="7" t="n">
        <v>7.5</v>
      </c>
      <c r="C51" s="5" t="n">
        <v>24</v>
      </c>
      <c r="D51" s="8">
        <f>C51/Assumptions!$B$10</f>
        <v/>
      </c>
      <c r="E51" s="7" t="n">
        <v>0</v>
      </c>
      <c r="F51" s="7" t="n">
        <v>6</v>
      </c>
      <c r="G51" s="7">
        <f>E51+F51</f>
        <v/>
      </c>
      <c r="H51" s="8">
        <f>IF(D51&gt;0,G51/D51,999)</f>
        <v/>
      </c>
      <c r="I51" s="12" t="inlineStr">
        <is>
          <t>MISSING</t>
        </is>
      </c>
      <c r="J51" s="7" t="n">
        <v>40</v>
      </c>
      <c r="K51" s="10">
        <f>J51*L51</f>
        <v/>
      </c>
      <c r="L51" s="7" t="n">
        <v>52</v>
      </c>
    </row>
    <row r="52">
      <c r="A52" s="7" t="inlineStr">
        <is>
          <t>SP 75</t>
        </is>
      </c>
      <c r="B52" s="7" t="n">
        <v>10</v>
      </c>
      <c r="C52" s="5" t="n">
        <v>26</v>
      </c>
      <c r="D52" s="8">
        <f>C52/Assumptions!$B$10</f>
        <v/>
      </c>
      <c r="E52" s="7" t="n">
        <v>8</v>
      </c>
      <c r="F52" s="7" t="n">
        <v>0</v>
      </c>
      <c r="G52" s="7">
        <f>E52+F52</f>
        <v/>
      </c>
      <c r="H52" s="8">
        <f>IF(D52&gt;0,G52/D52,999)</f>
        <v/>
      </c>
      <c r="I52" s="12" t="inlineStr">
        <is>
          <t>MISSING</t>
        </is>
      </c>
      <c r="J52" s="7" t="n">
        <v>40</v>
      </c>
      <c r="K52" s="10">
        <f>J52*L52</f>
        <v/>
      </c>
      <c r="L52" s="7" t="n">
        <v>52</v>
      </c>
    </row>
    <row r="53">
      <c r="A53" s="7" t="inlineStr">
        <is>
          <t>SP 75</t>
        </is>
      </c>
      <c r="B53" s="7" t="n">
        <v>15</v>
      </c>
      <c r="C53" s="5" t="n">
        <v>57</v>
      </c>
      <c r="D53" s="8">
        <f>C53/Assumptions!$B$10</f>
        <v/>
      </c>
      <c r="E53" s="7" t="n">
        <v>5</v>
      </c>
      <c r="F53" s="7" t="n">
        <v>36</v>
      </c>
      <c r="G53" s="7">
        <f>E53+F53</f>
        <v/>
      </c>
      <c r="H53" s="8">
        <f>IF(D53&gt;0,G53/D53,999)</f>
        <v/>
      </c>
      <c r="I53" s="13" t="inlineStr">
        <is>
          <t>Tight</t>
        </is>
      </c>
      <c r="J53" s="7" t="n">
        <v>60</v>
      </c>
      <c r="K53" s="10">
        <f>J53*L53</f>
        <v/>
      </c>
      <c r="L53" s="7" t="n">
        <v>52</v>
      </c>
    </row>
    <row r="54">
      <c r="A54" s="7" t="inlineStr">
        <is>
          <t>SP 75</t>
        </is>
      </c>
      <c r="B54" s="7" t="n">
        <v>20</v>
      </c>
      <c r="C54" s="5" t="n">
        <v>131</v>
      </c>
      <c r="D54" s="8">
        <f>C54/Assumptions!$B$10</f>
        <v/>
      </c>
      <c r="E54" s="7" t="n">
        <v>0</v>
      </c>
      <c r="F54" s="7" t="n">
        <v>0</v>
      </c>
      <c r="G54" s="7">
        <f>E54+F54</f>
        <v/>
      </c>
      <c r="H54" s="8">
        <f>IF(D54&gt;0,G54/D54,999)</f>
        <v/>
      </c>
      <c r="I54" s="14" t="inlineStr">
        <is>
          <t>NOT STOCKED</t>
        </is>
      </c>
      <c r="J54" s="7" t="n">
        <v>225</v>
      </c>
      <c r="K54" s="10">
        <f>J54*L54</f>
        <v/>
      </c>
      <c r="L54" s="7" t="n">
        <v>52</v>
      </c>
    </row>
    <row r="55">
      <c r="A55" s="7" t="inlineStr">
        <is>
          <t>SP 75</t>
        </is>
      </c>
      <c r="B55" s="7" t="n">
        <v>25</v>
      </c>
      <c r="C55" s="5" t="n">
        <v>68</v>
      </c>
      <c r="D55" s="8">
        <f>C55/Assumptions!$B$10</f>
        <v/>
      </c>
      <c r="E55" s="7" t="n">
        <v>0</v>
      </c>
      <c r="F55" s="7" t="n">
        <v>35</v>
      </c>
      <c r="G55" s="7">
        <f>E55+F55</f>
        <v/>
      </c>
      <c r="H55" s="8">
        <f>IF(D55&gt;0,G55/D55,999)</f>
        <v/>
      </c>
      <c r="I55" s="12" t="inlineStr">
        <is>
          <t>MISSING</t>
        </is>
      </c>
      <c r="J55" s="7" t="n">
        <v>85</v>
      </c>
      <c r="K55" s="10">
        <f>J55*L55</f>
        <v/>
      </c>
      <c r="L55" s="7" t="n">
        <v>52</v>
      </c>
    </row>
    <row r="56">
      <c r="A56" s="7" t="inlineStr">
        <is>
          <t>SP 75</t>
        </is>
      </c>
      <c r="B56" s="7" t="n">
        <v>30</v>
      </c>
      <c r="C56" s="5" t="n">
        <v>162</v>
      </c>
      <c r="D56" s="8">
        <f>C56/Assumptions!$B$10</f>
        <v/>
      </c>
      <c r="E56" s="7" t="n">
        <v>60</v>
      </c>
      <c r="F56" s="7" t="n">
        <v>46</v>
      </c>
      <c r="G56" s="7">
        <f>E56+F56</f>
        <v/>
      </c>
      <c r="H56" s="8">
        <f>IF(D56&gt;0,G56/D56,999)</f>
        <v/>
      </c>
      <c r="I56" s="12" t="inlineStr">
        <is>
          <t>MISSING</t>
        </is>
      </c>
      <c r="J56" s="7" t="n">
        <v>175</v>
      </c>
      <c r="K56" s="10">
        <f>J56*L56</f>
        <v/>
      </c>
      <c r="L56" s="7" t="n">
        <v>52</v>
      </c>
    </row>
    <row r="57">
      <c r="A57" s="7" t="inlineStr">
        <is>
          <t>SP 75</t>
        </is>
      </c>
      <c r="B57" s="7" t="n">
        <v>40</v>
      </c>
      <c r="C57" s="5" t="n">
        <v>285</v>
      </c>
      <c r="D57" s="8">
        <f>C57/Assumptions!$B$10</f>
        <v/>
      </c>
      <c r="E57" s="7" t="n">
        <v>30</v>
      </c>
      <c r="F57" s="7" t="n">
        <v>14</v>
      </c>
      <c r="G57" s="7">
        <f>E57+F57</f>
        <v/>
      </c>
      <c r="H57" s="8">
        <f>IF(D57&gt;0,G57/D57,999)</f>
        <v/>
      </c>
      <c r="I57" s="12" t="inlineStr">
        <is>
          <t>MISSING</t>
        </is>
      </c>
      <c r="J57" s="7" t="n">
        <v>445</v>
      </c>
      <c r="K57" s="10">
        <f>J57*L57</f>
        <v/>
      </c>
      <c r="L57" s="7" t="n">
        <v>52</v>
      </c>
    </row>
    <row r="58">
      <c r="A58" s="7" t="inlineStr">
        <is>
          <t>SP 75</t>
        </is>
      </c>
      <c r="B58" s="7" t="n">
        <v>50</v>
      </c>
      <c r="C58" s="5" t="n">
        <v>151</v>
      </c>
      <c r="D58" s="8">
        <f>C58/Assumptions!$B$10</f>
        <v/>
      </c>
      <c r="E58" s="7" t="n">
        <v>25</v>
      </c>
      <c r="F58" s="7" t="n">
        <v>18</v>
      </c>
      <c r="G58" s="7">
        <f>E58+F58</f>
        <v/>
      </c>
      <c r="H58" s="8">
        <f>IF(D58&gt;0,G58/D58,999)</f>
        <v/>
      </c>
      <c r="I58" s="12" t="inlineStr">
        <is>
          <t>MISSING</t>
        </is>
      </c>
      <c r="J58" s="7" t="n">
        <v>220</v>
      </c>
      <c r="K58" s="10">
        <f>J58*L58</f>
        <v/>
      </c>
      <c r="L58" s="7" t="n">
        <v>52</v>
      </c>
    </row>
    <row r="59">
      <c r="A59" s="7" t="inlineStr">
        <is>
          <t>SP 75</t>
        </is>
      </c>
      <c r="B59" s="7" t="n">
        <v>60</v>
      </c>
      <c r="C59" s="5" t="n">
        <v>77</v>
      </c>
      <c r="D59" s="8">
        <f>C59/Assumptions!$B$10</f>
        <v/>
      </c>
      <c r="E59" s="7" t="n">
        <v>0</v>
      </c>
      <c r="F59" s="7" t="n">
        <v>35</v>
      </c>
      <c r="G59" s="7">
        <f>E59+F59</f>
        <v/>
      </c>
      <c r="H59" s="8">
        <f>IF(D59&gt;0,G59/D59,999)</f>
        <v/>
      </c>
      <c r="I59" s="12" t="inlineStr">
        <is>
          <t>MISSING</t>
        </is>
      </c>
      <c r="J59" s="7" t="n">
        <v>100</v>
      </c>
      <c r="K59" s="10">
        <f>J59*L59</f>
        <v/>
      </c>
      <c r="L59" s="7" t="n">
        <v>52</v>
      </c>
    </row>
    <row r="60">
      <c r="A60" s="7" t="inlineStr">
        <is>
          <t>SP 75</t>
        </is>
      </c>
      <c r="B60" s="7" t="n">
        <v>80</v>
      </c>
      <c r="C60" s="5" t="n">
        <v>166</v>
      </c>
      <c r="D60" s="8">
        <f>C60/Assumptions!$B$10</f>
        <v/>
      </c>
      <c r="E60" s="7" t="n">
        <v>5</v>
      </c>
      <c r="F60" s="7" t="n">
        <v>135</v>
      </c>
      <c r="G60" s="7">
        <f>E60+F60</f>
        <v/>
      </c>
      <c r="H60" s="8">
        <f>IF(D60&gt;0,G60/D60,999)</f>
        <v/>
      </c>
      <c r="I60" s="13" t="inlineStr">
        <is>
          <t>Tight</t>
        </is>
      </c>
      <c r="J60" s="7" t="n">
        <v>145</v>
      </c>
      <c r="K60" s="10">
        <f>J60*L60</f>
        <v/>
      </c>
      <c r="L60" s="7" t="n">
        <v>52</v>
      </c>
    </row>
    <row r="61">
      <c r="A61" s="7" t="inlineStr">
        <is>
          <t>SP 75</t>
        </is>
      </c>
      <c r="B61" s="7" t="n">
        <v>100</v>
      </c>
      <c r="C61" s="5" t="n">
        <v>157</v>
      </c>
      <c r="D61" s="8">
        <f>C61/Assumptions!$B$10</f>
        <v/>
      </c>
      <c r="E61" s="7" t="n">
        <v>10</v>
      </c>
      <c r="F61" s="7" t="n">
        <v>17</v>
      </c>
      <c r="G61" s="7">
        <f>E61+F61</f>
        <v/>
      </c>
      <c r="H61" s="8">
        <f>IF(D61&gt;0,G61/D61,999)</f>
        <v/>
      </c>
      <c r="I61" s="12" t="inlineStr">
        <is>
          <t>MISSING</t>
        </is>
      </c>
      <c r="J61" s="7" t="n">
        <v>245</v>
      </c>
      <c r="K61" s="10">
        <f>J61*L61</f>
        <v/>
      </c>
      <c r="L61" s="7" t="n">
        <v>52</v>
      </c>
    </row>
    <row r="62">
      <c r="A62" s="7" t="inlineStr">
        <is>
          <t>SP 90</t>
        </is>
      </c>
      <c r="B62" s="7" t="n">
        <v>5</v>
      </c>
      <c r="C62" s="5" t="n">
        <v>8</v>
      </c>
      <c r="D62" s="8">
        <f>C62/Assumptions!$B$10</f>
        <v/>
      </c>
      <c r="E62" s="7" t="n">
        <v>0</v>
      </c>
      <c r="F62" s="7" t="n">
        <v>0</v>
      </c>
      <c r="G62" s="7">
        <f>E62+F62</f>
        <v/>
      </c>
      <c r="H62" s="8">
        <f>IF(D62&gt;0,G62/D62,999)</f>
        <v/>
      </c>
      <c r="I62" s="14" t="inlineStr">
        <is>
          <t>NOT STOCKED</t>
        </is>
      </c>
      <c r="J62" s="7" t="n">
        <v>15</v>
      </c>
      <c r="K62" s="10">
        <f>J62*L62</f>
        <v/>
      </c>
      <c r="L62" s="7" t="n">
        <v>71</v>
      </c>
    </row>
    <row r="63">
      <c r="A63" s="7" t="inlineStr">
        <is>
          <t>SP 90</t>
        </is>
      </c>
      <c r="B63" s="7" t="n">
        <v>7.5</v>
      </c>
      <c r="C63" s="5" t="n">
        <v>10</v>
      </c>
      <c r="D63" s="8">
        <f>C63/Assumptions!$B$10</f>
        <v/>
      </c>
      <c r="E63" s="7" t="n">
        <v>5</v>
      </c>
      <c r="F63" s="7" t="n">
        <v>0</v>
      </c>
      <c r="G63" s="7">
        <f>E63+F63</f>
        <v/>
      </c>
      <c r="H63" s="8">
        <f>IF(D63&gt;0,G63/D63,999)</f>
        <v/>
      </c>
      <c r="I63" s="12" t="inlineStr">
        <is>
          <t>MISSING</t>
        </is>
      </c>
      <c r="J63" s="7" t="n">
        <v>15</v>
      </c>
      <c r="K63" s="10">
        <f>J63*L63</f>
        <v/>
      </c>
      <c r="L63" s="7" t="n">
        <v>71</v>
      </c>
    </row>
    <row r="64">
      <c r="A64" s="7" t="inlineStr">
        <is>
          <t>SP 90</t>
        </is>
      </c>
      <c r="B64" s="7" t="n">
        <v>10</v>
      </c>
      <c r="C64" s="5" t="n">
        <v>47</v>
      </c>
      <c r="D64" s="8">
        <f>C64/Assumptions!$B$10</f>
        <v/>
      </c>
      <c r="E64" s="7" t="n">
        <v>18</v>
      </c>
      <c r="F64" s="7" t="n">
        <v>61</v>
      </c>
      <c r="G64" s="7">
        <f>E64+F64</f>
        <v/>
      </c>
      <c r="H64" s="8">
        <f>IF(D64&gt;0,G64/D64,999)</f>
        <v/>
      </c>
      <c r="I64" s="11" t="inlineStr">
        <is>
          <t>Balanced</t>
        </is>
      </c>
      <c r="J64" s="7" t="n">
        <v>0</v>
      </c>
      <c r="K64" s="10">
        <f>J64*L64</f>
        <v/>
      </c>
      <c r="L64" s="7" t="n">
        <v>71</v>
      </c>
    </row>
    <row r="65">
      <c r="A65" s="7" t="inlineStr">
        <is>
          <t>SP 90</t>
        </is>
      </c>
      <c r="B65" s="7" t="n">
        <v>15</v>
      </c>
      <c r="C65" s="5" t="n">
        <v>43</v>
      </c>
      <c r="D65" s="8">
        <f>C65/Assumptions!$B$10</f>
        <v/>
      </c>
      <c r="E65" s="7" t="n">
        <v>11</v>
      </c>
      <c r="F65" s="7" t="n">
        <v>15</v>
      </c>
      <c r="G65" s="7">
        <f>E65+F65</f>
        <v/>
      </c>
      <c r="H65" s="8">
        <f>IF(D65&gt;0,G65/D65,999)</f>
        <v/>
      </c>
      <c r="I65" s="12" t="inlineStr">
        <is>
          <t>MISSING</t>
        </is>
      </c>
      <c r="J65" s="7" t="n">
        <v>50</v>
      </c>
      <c r="K65" s="10">
        <f>J65*L65</f>
        <v/>
      </c>
      <c r="L65" s="7" t="n">
        <v>71</v>
      </c>
    </row>
    <row r="66">
      <c r="A66" s="7" t="inlineStr">
        <is>
          <t>SP 90</t>
        </is>
      </c>
      <c r="B66" s="7" t="n">
        <v>20</v>
      </c>
      <c r="C66" s="5" t="n">
        <v>85</v>
      </c>
      <c r="D66" s="8">
        <f>C66/Assumptions!$B$10</f>
        <v/>
      </c>
      <c r="E66" s="7" t="n">
        <v>50</v>
      </c>
      <c r="F66" s="7" t="n">
        <v>98</v>
      </c>
      <c r="G66" s="7">
        <f>E66+F66</f>
        <v/>
      </c>
      <c r="H66" s="8">
        <f>IF(D66&gt;0,G66/D66,999)</f>
        <v/>
      </c>
      <c r="I66" s="11" t="inlineStr">
        <is>
          <t>Balanced</t>
        </is>
      </c>
      <c r="J66" s="7" t="n">
        <v>0</v>
      </c>
      <c r="K66" s="10">
        <f>J66*L66</f>
        <v/>
      </c>
      <c r="L66" s="7" t="n">
        <v>71</v>
      </c>
    </row>
    <row r="67">
      <c r="A67" s="7" t="inlineStr">
        <is>
          <t>SP 90</t>
        </is>
      </c>
      <c r="B67" s="7" t="n">
        <v>25</v>
      </c>
      <c r="C67" s="5" t="n">
        <v>67</v>
      </c>
      <c r="D67" s="8">
        <f>C67/Assumptions!$B$10</f>
        <v/>
      </c>
      <c r="E67" s="7" t="n">
        <v>15</v>
      </c>
      <c r="F67" s="7" t="n">
        <v>39</v>
      </c>
      <c r="G67" s="7">
        <f>E67+F67</f>
        <v/>
      </c>
      <c r="H67" s="8">
        <f>IF(D67&gt;0,G67/D67,999)</f>
        <v/>
      </c>
      <c r="I67" s="13" t="inlineStr">
        <is>
          <t>Tight</t>
        </is>
      </c>
      <c r="J67" s="7" t="n">
        <v>65</v>
      </c>
      <c r="K67" s="10">
        <f>J67*L67</f>
        <v/>
      </c>
      <c r="L67" s="7" t="n">
        <v>71</v>
      </c>
    </row>
    <row r="68">
      <c r="A68" s="7" t="inlineStr">
        <is>
          <t>SP 90</t>
        </is>
      </c>
      <c r="B68" s="7" t="n">
        <v>30</v>
      </c>
      <c r="C68" s="5" t="n">
        <v>197</v>
      </c>
      <c r="D68" s="8">
        <f>C68/Assumptions!$B$10</f>
        <v/>
      </c>
      <c r="E68" s="7" t="n">
        <v>65</v>
      </c>
      <c r="F68" s="7" t="n">
        <v>123</v>
      </c>
      <c r="G68" s="7">
        <f>E68+F68</f>
        <v/>
      </c>
      <c r="H68" s="8">
        <f>IF(D68&gt;0,G68/D68,999)</f>
        <v/>
      </c>
      <c r="I68" s="13" t="inlineStr">
        <is>
          <t>Tight</t>
        </is>
      </c>
      <c r="J68" s="7" t="n">
        <v>150</v>
      </c>
      <c r="K68" s="10">
        <f>J68*L68</f>
        <v/>
      </c>
      <c r="L68" s="7" t="n">
        <v>71</v>
      </c>
    </row>
    <row r="69">
      <c r="A69" s="7" t="inlineStr">
        <is>
          <t>SP 90</t>
        </is>
      </c>
      <c r="B69" s="7" t="n">
        <v>40</v>
      </c>
      <c r="C69" s="5" t="n">
        <v>74</v>
      </c>
      <c r="D69" s="8">
        <f>C69/Assumptions!$B$10</f>
        <v/>
      </c>
      <c r="E69" s="7" t="n">
        <v>55</v>
      </c>
      <c r="F69" s="7" t="n">
        <v>547</v>
      </c>
      <c r="G69" s="7">
        <f>E69+F69</f>
        <v/>
      </c>
      <c r="H69" s="8">
        <f>IF(D69&gt;0,G69/D69,999)</f>
        <v/>
      </c>
      <c r="I69" s="9" t="inlineStr">
        <is>
          <t>Heavy</t>
        </is>
      </c>
      <c r="J69" s="7" t="n">
        <v>0</v>
      </c>
      <c r="K69" s="10">
        <f>J69*L69</f>
        <v/>
      </c>
      <c r="L69" s="7" t="n">
        <v>71</v>
      </c>
    </row>
    <row r="70">
      <c r="A70" s="7" t="inlineStr">
        <is>
          <t>SP 90</t>
        </is>
      </c>
      <c r="B70" s="7" t="n">
        <v>50</v>
      </c>
      <c r="C70" s="5" t="n">
        <v>24</v>
      </c>
      <c r="D70" s="8">
        <f>C70/Assumptions!$B$10</f>
        <v/>
      </c>
      <c r="E70" s="7" t="n">
        <v>0</v>
      </c>
      <c r="F70" s="7" t="n">
        <v>26</v>
      </c>
      <c r="G70" s="7">
        <f>E70+F70</f>
        <v/>
      </c>
      <c r="H70" s="8">
        <f>IF(D70&gt;0,G70/D70,999)</f>
        <v/>
      </c>
      <c r="I70" s="13" t="inlineStr">
        <is>
          <t>Tight</t>
        </is>
      </c>
      <c r="J70" s="7" t="n">
        <v>20</v>
      </c>
      <c r="K70" s="10">
        <f>J70*L70</f>
        <v/>
      </c>
      <c r="L70" s="7" t="n">
        <v>71</v>
      </c>
    </row>
    <row r="71">
      <c r="A71" s="7" t="inlineStr">
        <is>
          <t>SP 90</t>
        </is>
      </c>
      <c r="B71" s="7" t="n">
        <v>60</v>
      </c>
      <c r="C71" s="5" t="n">
        <v>46</v>
      </c>
      <c r="D71" s="8">
        <f>C71/Assumptions!$B$10</f>
        <v/>
      </c>
      <c r="E71" s="7" t="n">
        <v>0</v>
      </c>
      <c r="F71" s="7" t="n">
        <v>10</v>
      </c>
      <c r="G71" s="7">
        <f>E71+F71</f>
        <v/>
      </c>
      <c r="H71" s="8">
        <f>IF(D71&gt;0,G71/D71,999)</f>
        <v/>
      </c>
      <c r="I71" s="12" t="inlineStr">
        <is>
          <t>MISSING</t>
        </is>
      </c>
      <c r="J71" s="7" t="n">
        <v>70</v>
      </c>
      <c r="K71" s="10">
        <f>J71*L71</f>
        <v/>
      </c>
      <c r="L71" s="7" t="n">
        <v>71</v>
      </c>
    </row>
    <row r="72">
      <c r="A72" s="7" t="inlineStr">
        <is>
          <t>SP 90</t>
        </is>
      </c>
      <c r="B72" s="7" t="n">
        <v>80</v>
      </c>
      <c r="C72" s="5" t="n">
        <v>59</v>
      </c>
      <c r="D72" s="8">
        <f>C72/Assumptions!$B$10</f>
        <v/>
      </c>
      <c r="E72" s="7" t="n">
        <v>5</v>
      </c>
      <c r="F72" s="7" t="n">
        <v>4</v>
      </c>
      <c r="G72" s="7">
        <f>E72+F72</f>
        <v/>
      </c>
      <c r="H72" s="8">
        <f>IF(D72&gt;0,G72/D72,999)</f>
        <v/>
      </c>
      <c r="I72" s="12" t="inlineStr">
        <is>
          <t>MISSING</t>
        </is>
      </c>
      <c r="J72" s="7" t="n">
        <v>95</v>
      </c>
      <c r="K72" s="10">
        <f>J72*L72</f>
        <v/>
      </c>
      <c r="L72" s="7" t="n">
        <v>71</v>
      </c>
    </row>
    <row r="73">
      <c r="A73" s="7" t="inlineStr">
        <is>
          <t>SP 90</t>
        </is>
      </c>
      <c r="B73" s="7" t="n">
        <v>100</v>
      </c>
      <c r="C73" s="5" t="n">
        <v>72</v>
      </c>
      <c r="D73" s="8">
        <f>C73/Assumptions!$B$10</f>
        <v/>
      </c>
      <c r="E73" s="7" t="n">
        <v>0</v>
      </c>
      <c r="F73" s="7" t="n">
        <v>0</v>
      </c>
      <c r="G73" s="7">
        <f>E73+F73</f>
        <v/>
      </c>
      <c r="H73" s="8">
        <f>IF(D73&gt;0,G73/D73,999)</f>
        <v/>
      </c>
      <c r="I73" s="14" t="inlineStr">
        <is>
          <t>NOT STOCKED</t>
        </is>
      </c>
      <c r="J73" s="7" t="n">
        <v>125</v>
      </c>
      <c r="K73" s="10">
        <f>J73*L73</f>
        <v/>
      </c>
      <c r="L73" s="7" t="n">
        <v>71</v>
      </c>
    </row>
    <row r="74">
      <c r="A74" s="7" t="inlineStr">
        <is>
          <t>SP 110</t>
        </is>
      </c>
      <c r="B74" s="7" t="n">
        <v>7.5</v>
      </c>
      <c r="C74" s="5" t="n">
        <v>10</v>
      </c>
      <c r="D74" s="8">
        <f>C74/Assumptions!$B$10</f>
        <v/>
      </c>
      <c r="E74" s="7" t="n">
        <v>10</v>
      </c>
      <c r="F74" s="7" t="n">
        <v>0</v>
      </c>
      <c r="G74" s="7">
        <f>E74+F74</f>
        <v/>
      </c>
      <c r="H74" s="8">
        <f>IF(D74&gt;0,G74/D74,999)</f>
        <v/>
      </c>
      <c r="I74" s="13" t="inlineStr">
        <is>
          <t>Tight</t>
        </is>
      </c>
      <c r="J74" s="7" t="n">
        <v>10</v>
      </c>
      <c r="K74" s="10">
        <f>J74*L74</f>
        <v/>
      </c>
      <c r="L74" s="7" t="n">
        <v>115</v>
      </c>
    </row>
    <row r="75">
      <c r="A75" s="7" t="inlineStr">
        <is>
          <t>SP 110</t>
        </is>
      </c>
      <c r="B75" s="7" t="n">
        <v>10</v>
      </c>
      <c r="C75" s="5" t="n">
        <v>16</v>
      </c>
      <c r="D75" s="8">
        <f>C75/Assumptions!$B$10</f>
        <v/>
      </c>
      <c r="E75" s="7" t="n">
        <v>0</v>
      </c>
      <c r="F75" s="7" t="n">
        <v>0</v>
      </c>
      <c r="G75" s="7">
        <f>E75+F75</f>
        <v/>
      </c>
      <c r="H75" s="8">
        <f>IF(D75&gt;0,G75/D75,999)</f>
        <v/>
      </c>
      <c r="I75" s="14" t="inlineStr">
        <is>
          <t>NOT STOCKED</t>
        </is>
      </c>
      <c r="J75" s="7" t="n">
        <v>30</v>
      </c>
      <c r="K75" s="10">
        <f>J75*L75</f>
        <v/>
      </c>
      <c r="L75" s="7" t="n">
        <v>115</v>
      </c>
    </row>
    <row r="76">
      <c r="A76" s="7" t="inlineStr">
        <is>
          <t>SP 110</t>
        </is>
      </c>
      <c r="B76" s="7" t="n">
        <v>15</v>
      </c>
      <c r="C76" s="5" t="n">
        <v>37</v>
      </c>
      <c r="D76" s="8">
        <f>C76/Assumptions!$B$10</f>
        <v/>
      </c>
      <c r="E76" s="7" t="n">
        <v>3</v>
      </c>
      <c r="F76" s="7" t="n">
        <v>0</v>
      </c>
      <c r="G76" s="7">
        <f>E76+F76</f>
        <v/>
      </c>
      <c r="H76" s="8">
        <f>IF(D76&gt;0,G76/D76,999)</f>
        <v/>
      </c>
      <c r="I76" s="12" t="inlineStr">
        <is>
          <t>MISSING</t>
        </is>
      </c>
      <c r="J76" s="7" t="n">
        <v>65</v>
      </c>
      <c r="K76" s="10">
        <f>J76*L76</f>
        <v/>
      </c>
      <c r="L76" s="7" t="n">
        <v>115</v>
      </c>
    </row>
    <row r="77">
      <c r="A77" s="7" t="inlineStr">
        <is>
          <t>SP 110</t>
        </is>
      </c>
      <c r="B77" s="7" t="n">
        <v>20</v>
      </c>
      <c r="C77" s="5" t="n">
        <v>15</v>
      </c>
      <c r="D77" s="8">
        <f>C77/Assumptions!$B$10</f>
        <v/>
      </c>
      <c r="E77" s="7" t="n">
        <v>40</v>
      </c>
      <c r="F77" s="7" t="n">
        <v>0</v>
      </c>
      <c r="G77" s="7">
        <f>E77+F77</f>
        <v/>
      </c>
      <c r="H77" s="8">
        <f>IF(D77&gt;0,G77/D77,999)</f>
        <v/>
      </c>
      <c r="I77" s="9" t="inlineStr">
        <is>
          <t>Heavy</t>
        </is>
      </c>
      <c r="J77" s="7" t="n">
        <v>0</v>
      </c>
      <c r="K77" s="10">
        <f>J77*L77</f>
        <v/>
      </c>
      <c r="L77" s="7" t="n">
        <v>115</v>
      </c>
    </row>
    <row r="78">
      <c r="A78" s="7" t="inlineStr">
        <is>
          <t>SP 110</t>
        </is>
      </c>
      <c r="B78" s="7" t="n">
        <v>25</v>
      </c>
      <c r="C78" s="5" t="n">
        <v>13</v>
      </c>
      <c r="D78" s="8">
        <f>C78/Assumptions!$B$10</f>
        <v/>
      </c>
      <c r="E78" s="7" t="n">
        <v>6</v>
      </c>
      <c r="F78" s="7" t="n">
        <v>0</v>
      </c>
      <c r="G78" s="7">
        <f>E78+F78</f>
        <v/>
      </c>
      <c r="H78" s="8">
        <f>IF(D78&gt;0,G78/D78,999)</f>
        <v/>
      </c>
      <c r="I78" s="12" t="inlineStr">
        <is>
          <t>MISSING</t>
        </is>
      </c>
      <c r="J78" s="7" t="n">
        <v>20</v>
      </c>
      <c r="K78" s="10">
        <f>J78*L78</f>
        <v/>
      </c>
      <c r="L78" s="7" t="n">
        <v>115</v>
      </c>
    </row>
    <row r="79">
      <c r="A79" s="7" t="inlineStr">
        <is>
          <t>SP 110</t>
        </is>
      </c>
      <c r="B79" s="7" t="n">
        <v>30</v>
      </c>
      <c r="C79" s="5" t="n">
        <v>40</v>
      </c>
      <c r="D79" s="8">
        <f>C79/Assumptions!$B$10</f>
        <v/>
      </c>
      <c r="E79" s="7" t="n">
        <v>5</v>
      </c>
      <c r="F79" s="7" t="n">
        <v>2</v>
      </c>
      <c r="G79" s="7">
        <f>E79+F79</f>
        <v/>
      </c>
      <c r="H79" s="8">
        <f>IF(D79&gt;0,G79/D79,999)</f>
        <v/>
      </c>
      <c r="I79" s="12" t="inlineStr">
        <is>
          <t>MISSING</t>
        </is>
      </c>
      <c r="J79" s="7" t="n">
        <v>65</v>
      </c>
      <c r="K79" s="10">
        <f>J79*L79</f>
        <v/>
      </c>
      <c r="L79" s="7" t="n">
        <v>115</v>
      </c>
    </row>
    <row r="80">
      <c r="A80" s="7" t="inlineStr">
        <is>
          <t>SP 110</t>
        </is>
      </c>
      <c r="B80" s="7" t="n">
        <v>40</v>
      </c>
      <c r="C80" s="5" t="n">
        <v>264</v>
      </c>
      <c r="D80" s="8">
        <f>C80/Assumptions!$B$10</f>
        <v/>
      </c>
      <c r="E80" s="7" t="n">
        <v>192</v>
      </c>
      <c r="F80" s="7" t="n">
        <v>45</v>
      </c>
      <c r="G80" s="7">
        <f>E80+F80</f>
        <v/>
      </c>
      <c r="H80" s="8">
        <f>IF(D80&gt;0,G80/D80,999)</f>
        <v/>
      </c>
      <c r="I80" s="13" t="inlineStr">
        <is>
          <t>Tight</t>
        </is>
      </c>
      <c r="J80" s="7" t="n">
        <v>220</v>
      </c>
      <c r="K80" s="10">
        <f>J80*L80</f>
        <v/>
      </c>
      <c r="L80" s="7" t="n">
        <v>115</v>
      </c>
    </row>
    <row r="81">
      <c r="A81" s="7" t="inlineStr">
        <is>
          <t>SP 110</t>
        </is>
      </c>
      <c r="B81" s="7" t="n">
        <v>50</v>
      </c>
      <c r="C81" s="5" t="n">
        <v>35</v>
      </c>
      <c r="D81" s="8">
        <f>C81/Assumptions!$B$10</f>
        <v/>
      </c>
      <c r="E81" s="7" t="n">
        <v>0</v>
      </c>
      <c r="F81" s="7" t="n">
        <v>0</v>
      </c>
      <c r="G81" s="7">
        <f>E81+F81</f>
        <v/>
      </c>
      <c r="H81" s="8">
        <f>IF(D81&gt;0,G81/D81,999)</f>
        <v/>
      </c>
      <c r="I81" s="14" t="inlineStr">
        <is>
          <t>NOT STOCKED</t>
        </is>
      </c>
      <c r="J81" s="7" t="n">
        <v>60</v>
      </c>
      <c r="K81" s="10">
        <f>J81*L81</f>
        <v/>
      </c>
      <c r="L81" s="7" t="n">
        <v>115</v>
      </c>
    </row>
    <row r="82">
      <c r="A82" s="7" t="inlineStr">
        <is>
          <t>SP 110</t>
        </is>
      </c>
      <c r="B82" s="7" t="n">
        <v>60</v>
      </c>
      <c r="C82" s="5" t="n">
        <v>24</v>
      </c>
      <c r="D82" s="8">
        <f>C82/Assumptions!$B$10</f>
        <v/>
      </c>
      <c r="E82" s="7" t="n">
        <v>5</v>
      </c>
      <c r="F82" s="7" t="n">
        <v>16</v>
      </c>
      <c r="G82" s="7">
        <f>E82+F82</f>
        <v/>
      </c>
      <c r="H82" s="8">
        <f>IF(D82&gt;0,G82/D82,999)</f>
        <v/>
      </c>
      <c r="I82" s="13" t="inlineStr">
        <is>
          <t>Tight</t>
        </is>
      </c>
      <c r="J82" s="7" t="n">
        <v>25</v>
      </c>
      <c r="K82" s="10">
        <f>J82*L82</f>
        <v/>
      </c>
      <c r="L82" s="7" t="n">
        <v>115</v>
      </c>
    </row>
    <row r="83">
      <c r="A83" s="7" t="inlineStr">
        <is>
          <t>SP 110</t>
        </is>
      </c>
      <c r="B83" s="7" t="n">
        <v>80</v>
      </c>
      <c r="C83" s="5" t="n">
        <v>43</v>
      </c>
      <c r="D83" s="8">
        <f>C83/Assumptions!$B$10</f>
        <v/>
      </c>
      <c r="E83" s="7" t="n">
        <v>5</v>
      </c>
      <c r="F83" s="7" t="n">
        <v>0</v>
      </c>
      <c r="G83" s="7">
        <f>E83+F83</f>
        <v/>
      </c>
      <c r="H83" s="8">
        <f>IF(D83&gt;0,G83/D83,999)</f>
        <v/>
      </c>
      <c r="I83" s="12" t="inlineStr">
        <is>
          <t>MISSING</t>
        </is>
      </c>
      <c r="J83" s="7" t="n">
        <v>70</v>
      </c>
      <c r="K83" s="10">
        <f>J83*L83</f>
        <v/>
      </c>
      <c r="L83" s="7" t="n">
        <v>115</v>
      </c>
    </row>
    <row r="84">
      <c r="A84" s="7" t="inlineStr">
        <is>
          <t>SP 110</t>
        </is>
      </c>
      <c r="B84" s="7" t="n">
        <v>100</v>
      </c>
      <c r="C84" s="5" t="n">
        <v>36</v>
      </c>
      <c r="D84" s="8">
        <f>C84/Assumptions!$B$10</f>
        <v/>
      </c>
      <c r="E84" s="7" t="n">
        <v>5</v>
      </c>
      <c r="F84" s="7" t="n">
        <v>0</v>
      </c>
      <c r="G84" s="7">
        <f>E84+F84</f>
        <v/>
      </c>
      <c r="H84" s="8">
        <f>IF(D84&gt;0,G84/D84,999)</f>
        <v/>
      </c>
      <c r="I84" s="12" t="inlineStr">
        <is>
          <t>MISSING</t>
        </is>
      </c>
      <c r="J84" s="7" t="n">
        <v>60</v>
      </c>
      <c r="K84" s="10">
        <f>J84*L84</f>
        <v/>
      </c>
      <c r="L84" s="7" t="n">
        <v>115</v>
      </c>
    </row>
    <row r="85">
      <c r="A85" s="7" t="inlineStr">
        <is>
          <t>SP 130</t>
        </is>
      </c>
      <c r="B85" s="7" t="n">
        <v>7.5</v>
      </c>
      <c r="C85" s="5" t="n">
        <v>7</v>
      </c>
      <c r="D85" s="8">
        <f>C85/Assumptions!$B$10</f>
        <v/>
      </c>
      <c r="E85" s="7" t="n">
        <v>0</v>
      </c>
      <c r="F85" s="7" t="n">
        <v>0</v>
      </c>
      <c r="G85" s="7">
        <f>E85+F85</f>
        <v/>
      </c>
      <c r="H85" s="8">
        <f>IF(D85&gt;0,G85/D85,999)</f>
        <v/>
      </c>
      <c r="I85" s="14" t="inlineStr">
        <is>
          <t>NOT STOCKED</t>
        </is>
      </c>
      <c r="J85" s="7" t="n">
        <v>15</v>
      </c>
      <c r="K85" s="10">
        <f>J85*L85</f>
        <v/>
      </c>
      <c r="L85" s="7" t="n">
        <v>151</v>
      </c>
    </row>
    <row r="86">
      <c r="A86" s="7" t="inlineStr">
        <is>
          <t>SP 130</t>
        </is>
      </c>
      <c r="B86" s="7" t="n">
        <v>10</v>
      </c>
      <c r="C86" s="5" t="n">
        <v>6</v>
      </c>
      <c r="D86" s="8">
        <f>C86/Assumptions!$B$10</f>
        <v/>
      </c>
      <c r="E86" s="7" t="n">
        <v>0</v>
      </c>
      <c r="F86" s="7" t="n">
        <v>0</v>
      </c>
      <c r="G86" s="7">
        <f>E86+F86</f>
        <v/>
      </c>
      <c r="H86" s="8">
        <f>IF(D86&gt;0,G86/D86,999)</f>
        <v/>
      </c>
      <c r="I86" s="14" t="inlineStr">
        <is>
          <t>NOT STOCKED</t>
        </is>
      </c>
      <c r="J86" s="7" t="n">
        <v>15</v>
      </c>
      <c r="K86" s="10">
        <f>J86*L86</f>
        <v/>
      </c>
      <c r="L86" s="7" t="n">
        <v>151</v>
      </c>
    </row>
    <row r="87">
      <c r="A87" s="7" t="inlineStr">
        <is>
          <t>SP 130</t>
        </is>
      </c>
      <c r="B87" s="7" t="n">
        <v>15</v>
      </c>
      <c r="C87" s="5" t="n">
        <v>9</v>
      </c>
      <c r="D87" s="8">
        <f>C87/Assumptions!$B$10</f>
        <v/>
      </c>
      <c r="E87" s="7" t="n">
        <v>15</v>
      </c>
      <c r="F87" s="7" t="n">
        <v>4</v>
      </c>
      <c r="G87" s="7">
        <f>E87+F87</f>
        <v/>
      </c>
      <c r="H87" s="8">
        <f>IF(D87&gt;0,G87/D87,999)</f>
        <v/>
      </c>
      <c r="I87" s="11" t="inlineStr">
        <is>
          <t>Balanced</t>
        </is>
      </c>
      <c r="J87" s="7" t="n">
        <v>0</v>
      </c>
      <c r="K87" s="10">
        <f>J87*L87</f>
        <v/>
      </c>
      <c r="L87" s="7" t="n">
        <v>151</v>
      </c>
    </row>
    <row r="88">
      <c r="A88" s="7" t="inlineStr">
        <is>
          <t>SP 130</t>
        </is>
      </c>
      <c r="B88" s="7" t="n">
        <v>20</v>
      </c>
      <c r="C88" s="5" t="n">
        <v>9</v>
      </c>
      <c r="D88" s="8">
        <f>C88/Assumptions!$B$10</f>
        <v/>
      </c>
      <c r="E88" s="7" t="n">
        <v>0</v>
      </c>
      <c r="F88" s="7" t="n">
        <v>0</v>
      </c>
      <c r="G88" s="7">
        <f>E88+F88</f>
        <v/>
      </c>
      <c r="H88" s="8">
        <f>IF(D88&gt;0,G88/D88,999)</f>
        <v/>
      </c>
      <c r="I88" s="14" t="inlineStr">
        <is>
          <t>NOT STOCKED</t>
        </is>
      </c>
      <c r="J88" s="7" t="n">
        <v>20</v>
      </c>
      <c r="K88" s="10">
        <f>J88*L88</f>
        <v/>
      </c>
      <c r="L88" s="7" t="n">
        <v>151</v>
      </c>
    </row>
    <row r="89">
      <c r="A89" s="7" t="inlineStr">
        <is>
          <t>SP 130</t>
        </is>
      </c>
      <c r="B89" s="7" t="n">
        <v>25</v>
      </c>
      <c r="C89" s="5" t="n">
        <v>7</v>
      </c>
      <c r="D89" s="8">
        <f>C89/Assumptions!$B$10</f>
        <v/>
      </c>
      <c r="E89" s="7" t="n">
        <v>0</v>
      </c>
      <c r="F89" s="7" t="n">
        <v>0</v>
      </c>
      <c r="G89" s="7">
        <f>E89+F89</f>
        <v/>
      </c>
      <c r="H89" s="8">
        <f>IF(D89&gt;0,G89/D89,999)</f>
        <v/>
      </c>
      <c r="I89" s="14" t="inlineStr">
        <is>
          <t>NOT STOCKED</t>
        </is>
      </c>
      <c r="J89" s="7" t="n">
        <v>15</v>
      </c>
      <c r="K89" s="10">
        <f>J89*L89</f>
        <v/>
      </c>
      <c r="L89" s="7" t="n">
        <v>151</v>
      </c>
    </row>
    <row r="90">
      <c r="A90" s="7" t="inlineStr">
        <is>
          <t>SP 130</t>
        </is>
      </c>
      <c r="B90" s="7" t="n">
        <v>30</v>
      </c>
      <c r="C90" s="5" t="n">
        <v>11</v>
      </c>
      <c r="D90" s="8">
        <f>C90/Assumptions!$B$10</f>
        <v/>
      </c>
      <c r="E90" s="7" t="n">
        <v>3</v>
      </c>
      <c r="F90" s="7" t="n">
        <v>0</v>
      </c>
      <c r="G90" s="7">
        <f>E90+F90</f>
        <v/>
      </c>
      <c r="H90" s="8">
        <f>IF(D90&gt;0,G90/D90,999)</f>
        <v/>
      </c>
      <c r="I90" s="12" t="inlineStr">
        <is>
          <t>MISSING</t>
        </is>
      </c>
      <c r="J90" s="7" t="n">
        <v>20</v>
      </c>
      <c r="K90" s="10">
        <f>J90*L90</f>
        <v/>
      </c>
      <c r="L90" s="7" t="n">
        <v>151</v>
      </c>
    </row>
    <row r="91">
      <c r="A91" s="7" t="inlineStr">
        <is>
          <t>SP 130</t>
        </is>
      </c>
      <c r="B91" s="7" t="n">
        <v>40</v>
      </c>
      <c r="C91" s="5" t="n">
        <v>264</v>
      </c>
      <c r="D91" s="8">
        <f>C91/Assumptions!$B$10</f>
        <v/>
      </c>
      <c r="E91" s="7" t="n">
        <v>254</v>
      </c>
      <c r="F91" s="7" t="n">
        <v>2</v>
      </c>
      <c r="G91" s="7">
        <f>E91+F91</f>
        <v/>
      </c>
      <c r="H91" s="8">
        <f>IF(D91&gt;0,G91/D91,999)</f>
        <v/>
      </c>
      <c r="I91" s="13" t="inlineStr">
        <is>
          <t>Tight</t>
        </is>
      </c>
      <c r="J91" s="7" t="n">
        <v>200</v>
      </c>
      <c r="K91" s="10">
        <f>J91*L91</f>
        <v/>
      </c>
      <c r="L91" s="7" t="n">
        <v>151</v>
      </c>
    </row>
    <row r="92">
      <c r="A92" s="7" t="inlineStr">
        <is>
          <t>SP 130</t>
        </is>
      </c>
      <c r="B92" s="7" t="n">
        <v>50</v>
      </c>
      <c r="C92" s="5" t="n">
        <v>17</v>
      </c>
      <c r="D92" s="8">
        <f>C92/Assumptions!$B$10</f>
        <v/>
      </c>
      <c r="E92" s="7" t="n">
        <v>14</v>
      </c>
      <c r="F92" s="7" t="n">
        <v>1</v>
      </c>
      <c r="G92" s="7">
        <f>E92+F92</f>
        <v/>
      </c>
      <c r="H92" s="8">
        <f>IF(D92&gt;0,G92/D92,999)</f>
        <v/>
      </c>
      <c r="I92" s="13" t="inlineStr">
        <is>
          <t>Tight</t>
        </is>
      </c>
      <c r="J92" s="7" t="n">
        <v>15</v>
      </c>
      <c r="K92" s="10">
        <f>J92*L92</f>
        <v/>
      </c>
      <c r="L92" s="7" t="n">
        <v>151</v>
      </c>
    </row>
    <row r="93">
      <c r="A93" s="7" t="inlineStr">
        <is>
          <t>SP 130</t>
        </is>
      </c>
      <c r="B93" s="7" t="n">
        <v>60</v>
      </c>
      <c r="C93" s="5" t="n">
        <v>14</v>
      </c>
      <c r="D93" s="8">
        <f>C93/Assumptions!$B$10</f>
        <v/>
      </c>
      <c r="E93" s="7" t="n">
        <v>0</v>
      </c>
      <c r="F93" s="7" t="n">
        <v>0</v>
      </c>
      <c r="G93" s="7">
        <f>E93+F93</f>
        <v/>
      </c>
      <c r="H93" s="8">
        <f>IF(D93&gt;0,G93/D93,999)</f>
        <v/>
      </c>
      <c r="I93" s="14" t="inlineStr">
        <is>
          <t>NOT STOCKED</t>
        </is>
      </c>
      <c r="J93" s="7" t="n">
        <v>25</v>
      </c>
      <c r="K93" s="10">
        <f>J93*L93</f>
        <v/>
      </c>
      <c r="L93" s="7" t="n">
        <v>151</v>
      </c>
    </row>
    <row r="94">
      <c r="A94" s="7" t="inlineStr">
        <is>
          <t>SP 130</t>
        </is>
      </c>
      <c r="B94" s="7" t="n">
        <v>80</v>
      </c>
      <c r="C94" s="5" t="n">
        <v>2</v>
      </c>
      <c r="D94" s="8">
        <f>C94/Assumptions!$B$10</f>
        <v/>
      </c>
      <c r="E94" s="7" t="n">
        <v>0</v>
      </c>
      <c r="F94" s="7" t="n">
        <v>0</v>
      </c>
      <c r="G94" s="7">
        <f>E94+F94</f>
        <v/>
      </c>
      <c r="H94" s="8">
        <f>IF(D94&gt;0,G94/D94,999)</f>
        <v/>
      </c>
      <c r="I94" s="14" t="inlineStr">
        <is>
          <t>NOT STOCKED</t>
        </is>
      </c>
      <c r="J94" s="7" t="n">
        <v>0</v>
      </c>
      <c r="K94" s="10">
        <f>J94*L94</f>
        <v/>
      </c>
      <c r="L94" s="7" t="n">
        <v>151</v>
      </c>
    </row>
    <row r="95">
      <c r="A95" s="7" t="inlineStr">
        <is>
          <t>SP 130</t>
        </is>
      </c>
      <c r="B95" s="7" t="n">
        <v>100</v>
      </c>
      <c r="C95" s="5" t="n">
        <v>10</v>
      </c>
      <c r="D95" s="8">
        <f>C95/Assumptions!$B$10</f>
        <v/>
      </c>
      <c r="E95" s="7" t="n">
        <v>0</v>
      </c>
      <c r="F95" s="7" t="n">
        <v>0</v>
      </c>
      <c r="G95" s="7">
        <f>E95+F95</f>
        <v/>
      </c>
      <c r="H95" s="8">
        <f>IF(D95&gt;0,G95/D95,999)</f>
        <v/>
      </c>
      <c r="I95" s="14" t="inlineStr">
        <is>
          <t>NOT STOCKED</t>
        </is>
      </c>
      <c r="J95" s="7" t="n">
        <v>20</v>
      </c>
      <c r="K95" s="10">
        <f>J95*L95</f>
        <v/>
      </c>
      <c r="L95" s="7" t="n">
        <v>151</v>
      </c>
    </row>
    <row r="96">
      <c r="A96" s="7" t="inlineStr">
        <is>
          <t>SP 150</t>
        </is>
      </c>
      <c r="B96" s="7" t="n">
        <v>15</v>
      </c>
      <c r="C96" s="5" t="n">
        <v>0</v>
      </c>
      <c r="D96" s="8">
        <f>C96/Assumptions!$B$10</f>
        <v/>
      </c>
      <c r="E96" s="7" t="n">
        <v>3</v>
      </c>
      <c r="F96" s="7" t="n">
        <v>0</v>
      </c>
      <c r="G96" s="7">
        <f>E96+F96</f>
        <v/>
      </c>
      <c r="H96" s="8">
        <f>IF(D96&gt;0,G96/D96,999)</f>
        <v/>
      </c>
      <c r="I96" s="15" t="inlineStr">
        <is>
          <t>No sales</t>
        </is>
      </c>
      <c r="J96" s="7" t="n">
        <v>0</v>
      </c>
      <c r="K96" s="10">
        <f>J96*L96</f>
        <v/>
      </c>
      <c r="L96" s="7" t="n">
        <v>255</v>
      </c>
    </row>
    <row r="97">
      <c r="A97" s="7" t="inlineStr">
        <is>
          <t>SP 150</t>
        </is>
      </c>
      <c r="B97" s="7" t="n">
        <v>25</v>
      </c>
      <c r="C97" s="5" t="n">
        <v>3</v>
      </c>
      <c r="D97" s="8">
        <f>C97/Assumptions!$B$10</f>
        <v/>
      </c>
      <c r="E97" s="7" t="n">
        <v>0</v>
      </c>
      <c r="F97" s="7" t="n">
        <v>0</v>
      </c>
      <c r="G97" s="7">
        <f>E97+F97</f>
        <v/>
      </c>
      <c r="H97" s="8">
        <f>IF(D97&gt;0,G97/D97,999)</f>
        <v/>
      </c>
      <c r="I97" s="14" t="inlineStr">
        <is>
          <t>NOT STOCKED</t>
        </is>
      </c>
      <c r="J97" s="7" t="n">
        <v>10</v>
      </c>
      <c r="K97" s="10">
        <f>J97*L97</f>
        <v/>
      </c>
      <c r="L97" s="7" t="n">
        <v>255</v>
      </c>
    </row>
    <row r="98">
      <c r="A98" s="7" t="inlineStr">
        <is>
          <t>SP 150</t>
        </is>
      </c>
      <c r="B98" s="7" t="n">
        <v>30</v>
      </c>
      <c r="C98" s="5" t="n">
        <v>1</v>
      </c>
      <c r="D98" s="8">
        <f>C98/Assumptions!$B$10</f>
        <v/>
      </c>
      <c r="E98" s="7" t="n">
        <v>0</v>
      </c>
      <c r="F98" s="7" t="n">
        <v>0</v>
      </c>
      <c r="G98" s="7">
        <f>E98+F98</f>
        <v/>
      </c>
      <c r="H98" s="8">
        <f>IF(D98&gt;0,G98/D98,999)</f>
        <v/>
      </c>
      <c r="I98" s="14" t="inlineStr">
        <is>
          <t>NOT STOCKED</t>
        </is>
      </c>
      <c r="J98" s="7" t="n">
        <v>0</v>
      </c>
      <c r="K98" s="10">
        <f>J98*L98</f>
        <v/>
      </c>
      <c r="L98" s="7" t="n">
        <v>255</v>
      </c>
    </row>
    <row r="99">
      <c r="A99" s="7" t="inlineStr">
        <is>
          <t>SP 150</t>
        </is>
      </c>
      <c r="B99" s="7" t="n">
        <v>40</v>
      </c>
      <c r="C99" s="5" t="n">
        <v>15</v>
      </c>
      <c r="D99" s="8">
        <f>C99/Assumptions!$B$10</f>
        <v/>
      </c>
      <c r="E99" s="7" t="n">
        <v>33</v>
      </c>
      <c r="F99" s="7" t="n">
        <v>50</v>
      </c>
      <c r="G99" s="7">
        <f>E99+F99</f>
        <v/>
      </c>
      <c r="H99" s="8">
        <f>IF(D99&gt;0,G99/D99,999)</f>
        <v/>
      </c>
      <c r="I99" s="9" t="inlineStr">
        <is>
          <t>Heavy</t>
        </is>
      </c>
      <c r="J99" s="7" t="n">
        <v>0</v>
      </c>
      <c r="K99" s="10">
        <f>J99*L99</f>
        <v/>
      </c>
      <c r="L99" s="7" t="n">
        <v>255</v>
      </c>
    </row>
    <row r="100">
      <c r="A100" s="7" t="inlineStr">
        <is>
          <t>SP 150</t>
        </is>
      </c>
      <c r="B100" s="7" t="n">
        <v>50</v>
      </c>
      <c r="C100" s="5" t="n">
        <v>4</v>
      </c>
      <c r="D100" s="8">
        <f>C100/Assumptions!$B$10</f>
        <v/>
      </c>
      <c r="E100" s="7" t="n">
        <v>6</v>
      </c>
      <c r="F100" s="7" t="n">
        <v>0</v>
      </c>
      <c r="G100" s="7">
        <f>E100+F100</f>
        <v/>
      </c>
      <c r="H100" s="8">
        <f>IF(D100&gt;0,G100/D100,999)</f>
        <v/>
      </c>
      <c r="I100" s="11" t="inlineStr">
        <is>
          <t>Balanced</t>
        </is>
      </c>
      <c r="J100" s="7" t="n">
        <v>0</v>
      </c>
      <c r="K100" s="10">
        <f>J100*L100</f>
        <v/>
      </c>
      <c r="L100" s="7" t="n">
        <v>255</v>
      </c>
    </row>
    <row r="101">
      <c r="A101" s="7" t="inlineStr">
        <is>
          <t>SP 150</t>
        </is>
      </c>
      <c r="B101" s="7" t="n">
        <v>60</v>
      </c>
      <c r="C101" s="5" t="n">
        <v>2</v>
      </c>
      <c r="D101" s="8">
        <f>C101/Assumptions!$B$10</f>
        <v/>
      </c>
      <c r="E101" s="7" t="n">
        <v>0</v>
      </c>
      <c r="F101" s="7" t="n">
        <v>0</v>
      </c>
      <c r="G101" s="7">
        <f>E101+F101</f>
        <v/>
      </c>
      <c r="H101" s="8">
        <f>IF(D101&gt;0,G101/D101,999)</f>
        <v/>
      </c>
      <c r="I101" s="14" t="inlineStr">
        <is>
          <t>NOT STOCKED</t>
        </is>
      </c>
      <c r="J101" s="7" t="n">
        <v>0</v>
      </c>
      <c r="K101" s="10">
        <f>J101*L101</f>
        <v/>
      </c>
      <c r="L101" s="7" t="n">
        <v>255</v>
      </c>
    </row>
    <row r="102">
      <c r="A102" s="16" t="inlineStr">
        <is>
          <t>TOTAL</t>
        </is>
      </c>
      <c r="C102" s="17">
        <f>SUM(C2:C101)</f>
        <v/>
      </c>
      <c r="E102" s="17">
        <f>SUM(E2:E101)</f>
        <v/>
      </c>
      <c r="F102" s="17">
        <f>SUM(F2:F101)</f>
        <v/>
      </c>
      <c r="G102" s="17">
        <f>SUM(G2:G101)</f>
        <v/>
      </c>
      <c r="J102" s="17">
        <f>SUM(J2:J101)</f>
        <v/>
      </c>
      <c r="K102" s="18">
        <f>SUM(K2:K101)</f>
        <v/>
      </c>
    </row>
  </sheetData>
  <autoFilter ref="A1:L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0" customWidth="1" min="4" max="4"/>
    <col width="10" customWidth="1" min="5" max="5"/>
    <col width="10" customWidth="1" min="6" max="6"/>
    <col width="9" customWidth="1" min="7" max="7"/>
    <col width="12" customWidth="1" min="8" max="8"/>
    <col width="13" customWidth="1" min="9" max="9"/>
    <col width="13" customWidth="1" min="10" max="10"/>
  </cols>
  <sheetData>
    <row r="1">
      <c r="A1" s="6" t="inlineStr">
        <is>
          <t>Size</t>
        </is>
      </c>
      <c r="B1" s="6" t="inlineStr">
        <is>
          <t>PAM frame</t>
        </is>
      </c>
      <c r="C1" s="6" t="inlineStr">
        <is>
          <t>Mount</t>
        </is>
      </c>
      <c r="D1" s="6" t="inlineStr">
        <is>
          <t>Sold YTD</t>
        </is>
      </c>
      <c r="E1" s="6" t="inlineStr">
        <is>
          <t>Rate /mo</t>
        </is>
      </c>
      <c r="F1" s="6" t="inlineStr">
        <is>
          <t>In transit</t>
        </is>
      </c>
      <c r="G1" s="6" t="inlineStr">
        <is>
          <t>In mfg</t>
        </is>
      </c>
      <c r="H1" s="6" t="inlineStr">
        <is>
          <t>Total inbound</t>
        </is>
      </c>
      <c r="I1" s="6" t="inlineStr">
        <is>
          <t>Cover (months)</t>
        </is>
      </c>
      <c r="J1" s="6" t="inlineStr">
        <is>
          <t>Verdict</t>
        </is>
      </c>
    </row>
    <row r="2">
      <c r="A2" s="7" t="inlineStr">
        <is>
          <t>SP 30</t>
        </is>
      </c>
      <c r="B2" s="7" t="n">
        <v>56</v>
      </c>
      <c r="C2" s="7" t="inlineStr">
        <is>
          <t>B14</t>
        </is>
      </c>
      <c r="D2" s="5" t="n">
        <v>158</v>
      </c>
      <c r="E2" s="8">
        <f>D2/Assumptions!$B$10</f>
        <v/>
      </c>
      <c r="F2" s="7" t="n">
        <v>250</v>
      </c>
      <c r="G2" s="7" t="n">
        <v>50</v>
      </c>
      <c r="H2" s="7">
        <f>F2+G2</f>
        <v/>
      </c>
      <c r="I2" s="8">
        <f>IF(E2&gt;0,H2/E2,999)</f>
        <v/>
      </c>
      <c r="J2" s="11" t="inlineStr">
        <is>
          <t>Balanced</t>
        </is>
      </c>
    </row>
    <row r="3">
      <c r="A3" s="7" t="inlineStr">
        <is>
          <t>SP 30</t>
        </is>
      </c>
      <c r="B3" s="7" t="n">
        <v>63</v>
      </c>
      <c r="C3" s="7" t="inlineStr">
        <is>
          <t>B14</t>
        </is>
      </c>
      <c r="D3" s="5" t="n">
        <v>629</v>
      </c>
      <c r="E3" s="8">
        <f>D3/Assumptions!$B$10</f>
        <v/>
      </c>
      <c r="F3" s="7" t="n">
        <v>285</v>
      </c>
      <c r="G3" s="7" t="n">
        <v>427</v>
      </c>
      <c r="H3" s="7">
        <f>F3+G3</f>
        <v/>
      </c>
      <c r="I3" s="8">
        <f>IF(E3&gt;0,H3/E3,999)</f>
        <v/>
      </c>
      <c r="J3" s="13" t="inlineStr">
        <is>
          <t>Tight</t>
        </is>
      </c>
    </row>
    <row r="4">
      <c r="A4" s="7" t="inlineStr">
        <is>
          <t>SP 30</t>
        </is>
      </c>
      <c r="B4" s="7" t="n">
        <v>63</v>
      </c>
      <c r="C4" s="7" t="inlineStr">
        <is>
          <t>B5</t>
        </is>
      </c>
      <c r="D4" s="5" t="n">
        <v>18</v>
      </c>
      <c r="E4" s="8">
        <f>D4/Assumptions!$B$10</f>
        <v/>
      </c>
      <c r="F4" s="7" t="n">
        <v>25</v>
      </c>
      <c r="G4" s="7" t="n">
        <v>16</v>
      </c>
      <c r="H4" s="7">
        <f>F4+G4</f>
        <v/>
      </c>
      <c r="I4" s="8">
        <f>IF(E4&gt;0,H4/E4,999)</f>
        <v/>
      </c>
      <c r="J4" s="9" t="inlineStr">
        <is>
          <t>Heavy</t>
        </is>
      </c>
    </row>
    <row r="5">
      <c r="A5" s="7" t="inlineStr">
        <is>
          <t>SP 40</t>
        </is>
      </c>
      <c r="B5" s="7" t="n">
        <v>63</v>
      </c>
      <c r="C5" s="7" t="inlineStr">
        <is>
          <t>B14</t>
        </is>
      </c>
      <c r="D5" s="5" t="n">
        <v>397</v>
      </c>
      <c r="E5" s="8">
        <f>D5/Assumptions!$B$10</f>
        <v/>
      </c>
      <c r="F5" s="7" t="n">
        <v>154</v>
      </c>
      <c r="G5" s="7" t="n">
        <v>360</v>
      </c>
      <c r="H5" s="7">
        <f>F5+G5</f>
        <v/>
      </c>
      <c r="I5" s="8">
        <f>IF(E5&gt;0,H5/E5,999)</f>
        <v/>
      </c>
      <c r="J5" s="11" t="inlineStr">
        <is>
          <t>Balanced</t>
        </is>
      </c>
    </row>
    <row r="6">
      <c r="A6" s="7" t="inlineStr">
        <is>
          <t>SP 40</t>
        </is>
      </c>
      <c r="B6" s="7" t="n">
        <v>63</v>
      </c>
      <c r="C6" s="7" t="inlineStr">
        <is>
          <t>B5</t>
        </is>
      </c>
      <c r="D6" s="5" t="n">
        <v>21</v>
      </c>
      <c r="E6" s="8">
        <f>D6/Assumptions!$B$10</f>
        <v/>
      </c>
      <c r="F6" s="7" t="n">
        <v>5</v>
      </c>
      <c r="G6" s="7" t="n">
        <v>0</v>
      </c>
      <c r="H6" s="7">
        <f>F6+G6</f>
        <v/>
      </c>
      <c r="I6" s="8">
        <f>IF(E6&gt;0,H6/E6,999)</f>
        <v/>
      </c>
      <c r="J6" s="12" t="inlineStr">
        <is>
          <t>MISSING</t>
        </is>
      </c>
    </row>
    <row r="7">
      <c r="A7" s="7" t="inlineStr">
        <is>
          <t>SP 40</t>
        </is>
      </c>
      <c r="B7" s="7" t="n">
        <v>71</v>
      </c>
      <c r="C7" s="7" t="inlineStr">
        <is>
          <t>B14</t>
        </is>
      </c>
      <c r="D7" s="5" t="n">
        <v>1771</v>
      </c>
      <c r="E7" s="8">
        <f>D7/Assumptions!$B$10</f>
        <v/>
      </c>
      <c r="F7" s="7" t="n">
        <v>685</v>
      </c>
      <c r="G7" s="7" t="n">
        <v>598</v>
      </c>
      <c r="H7" s="7">
        <f>F7+G7</f>
        <v/>
      </c>
      <c r="I7" s="8">
        <f>IF(E7&gt;0,H7/E7,999)</f>
        <v/>
      </c>
      <c r="J7" s="13" t="inlineStr">
        <is>
          <t>Tight</t>
        </is>
      </c>
    </row>
    <row r="8">
      <c r="A8" s="7" t="inlineStr">
        <is>
          <t>SP 40</t>
        </is>
      </c>
      <c r="B8" s="7" t="n">
        <v>71</v>
      </c>
      <c r="C8" s="7" t="inlineStr">
        <is>
          <t>B5</t>
        </is>
      </c>
      <c r="D8" s="5" t="n">
        <v>57</v>
      </c>
      <c r="E8" s="8">
        <f>D8/Assumptions!$B$10</f>
        <v/>
      </c>
      <c r="F8" s="7" t="n">
        <v>5</v>
      </c>
      <c r="G8" s="7" t="n">
        <v>0</v>
      </c>
      <c r="H8" s="7">
        <f>F8+G8</f>
        <v/>
      </c>
      <c r="I8" s="8">
        <f>IF(E8&gt;0,H8/E8,999)</f>
        <v/>
      </c>
      <c r="J8" s="12" t="inlineStr">
        <is>
          <t>MISSING</t>
        </is>
      </c>
    </row>
    <row r="9">
      <c r="A9" s="7" t="inlineStr">
        <is>
          <t>SP 50</t>
        </is>
      </c>
      <c r="B9" s="7" t="n">
        <v>63</v>
      </c>
      <c r="C9" s="7" t="inlineStr">
        <is>
          <t>B14</t>
        </is>
      </c>
      <c r="D9" s="5" t="n">
        <v>14</v>
      </c>
      <c r="E9" s="8">
        <f>D9/Assumptions!$B$10</f>
        <v/>
      </c>
      <c r="F9" s="7" t="n">
        <v>150</v>
      </c>
      <c r="G9" s="7" t="n">
        <v>40</v>
      </c>
      <c r="H9" s="7">
        <f>F9+G9</f>
        <v/>
      </c>
      <c r="I9" s="8">
        <f>IF(E9&gt;0,H9/E9,999)</f>
        <v/>
      </c>
      <c r="J9" s="9" t="inlineStr">
        <is>
          <t>Heavy</t>
        </is>
      </c>
    </row>
    <row r="10">
      <c r="A10" s="7" t="inlineStr">
        <is>
          <t>SP 50</t>
        </is>
      </c>
      <c r="B10" s="7" t="n">
        <v>71</v>
      </c>
      <c r="C10" s="7" t="inlineStr">
        <is>
          <t>B14</t>
        </is>
      </c>
      <c r="D10" s="5" t="n">
        <v>1387</v>
      </c>
      <c r="E10" s="8">
        <f>D10/Assumptions!$B$10</f>
        <v/>
      </c>
      <c r="F10" s="7" t="n">
        <v>1656</v>
      </c>
      <c r="G10" s="7" t="n">
        <v>1471</v>
      </c>
      <c r="H10" s="7">
        <f>F10+G10</f>
        <v/>
      </c>
      <c r="I10" s="8">
        <f>IF(E10&gt;0,H10/E10,999)</f>
        <v/>
      </c>
      <c r="J10" s="9" t="inlineStr">
        <is>
          <t>Heavy</t>
        </is>
      </c>
    </row>
    <row r="11">
      <c r="A11" s="7" t="inlineStr">
        <is>
          <t>SP 50</t>
        </is>
      </c>
      <c r="B11" s="7" t="n">
        <v>71</v>
      </c>
      <c r="C11" s="7" t="inlineStr">
        <is>
          <t>B5</t>
        </is>
      </c>
      <c r="D11" s="5" t="n">
        <v>18</v>
      </c>
      <c r="E11" s="8">
        <f>D11/Assumptions!$B$10</f>
        <v/>
      </c>
      <c r="F11" s="7" t="n">
        <v>15</v>
      </c>
      <c r="G11" s="7" t="n">
        <v>50</v>
      </c>
      <c r="H11" s="7">
        <f>F11+G11</f>
        <v/>
      </c>
      <c r="I11" s="8">
        <f>IF(E11&gt;0,H11/E11,999)</f>
        <v/>
      </c>
      <c r="J11" s="9" t="inlineStr">
        <is>
          <t>Heavy</t>
        </is>
      </c>
    </row>
    <row r="12">
      <c r="A12" s="7" t="inlineStr">
        <is>
          <t>SP 50</t>
        </is>
      </c>
      <c r="B12" s="7" t="n">
        <v>80</v>
      </c>
      <c r="C12" s="7" t="inlineStr">
        <is>
          <t>B14</t>
        </is>
      </c>
      <c r="D12" s="5" t="n">
        <v>1045</v>
      </c>
      <c r="E12" s="8">
        <f>D12/Assumptions!$B$10</f>
        <v/>
      </c>
      <c r="F12" s="7" t="n">
        <v>586</v>
      </c>
      <c r="G12" s="7" t="n">
        <v>414</v>
      </c>
      <c r="H12" s="7">
        <f>F12+G12</f>
        <v/>
      </c>
      <c r="I12" s="8">
        <f>IF(E12&gt;0,H12/E12,999)</f>
        <v/>
      </c>
      <c r="J12" s="13" t="inlineStr">
        <is>
          <t>Tight</t>
        </is>
      </c>
    </row>
    <row r="13">
      <c r="A13" s="7" t="inlineStr">
        <is>
          <t>SP 50</t>
        </is>
      </c>
      <c r="B13" s="7" t="n">
        <v>80</v>
      </c>
      <c r="C13" s="7" t="inlineStr">
        <is>
          <t>B5</t>
        </is>
      </c>
      <c r="D13" s="5" t="n">
        <v>18</v>
      </c>
      <c r="E13" s="8">
        <f>D13/Assumptions!$B$10</f>
        <v/>
      </c>
      <c r="F13" s="7" t="n">
        <v>82</v>
      </c>
      <c r="G13" s="7" t="n">
        <v>10</v>
      </c>
      <c r="H13" s="7">
        <f>F13+G13</f>
        <v/>
      </c>
      <c r="I13" s="8">
        <f>IF(E13&gt;0,H13/E13,999)</f>
        <v/>
      </c>
      <c r="J13" s="9" t="inlineStr">
        <is>
          <t>Heavy</t>
        </is>
      </c>
    </row>
    <row r="14">
      <c r="A14" s="7" t="inlineStr">
        <is>
          <t>SP 50</t>
        </is>
      </c>
      <c r="B14" s="7" t="n">
        <v>90</v>
      </c>
      <c r="C14" s="7" t="inlineStr">
        <is>
          <t>B14</t>
        </is>
      </c>
      <c r="D14" s="5" t="n">
        <v>4</v>
      </c>
      <c r="E14" s="8">
        <f>D14/Assumptions!$B$10</f>
        <v/>
      </c>
      <c r="F14" s="7" t="n">
        <v>0</v>
      </c>
      <c r="G14" s="7" t="n">
        <v>0</v>
      </c>
      <c r="H14" s="7">
        <f>F14+G14</f>
        <v/>
      </c>
      <c r="I14" s="8">
        <f>IF(E14&gt;0,H14/E14,999)</f>
        <v/>
      </c>
      <c r="J14" s="14" t="inlineStr">
        <is>
          <t>NOT STOCKED</t>
        </is>
      </c>
    </row>
    <row r="15">
      <c r="A15" s="7" t="inlineStr">
        <is>
          <t>SP 63</t>
        </is>
      </c>
      <c r="B15" s="7" t="n">
        <v>63</v>
      </c>
      <c r="C15" s="7" t="inlineStr">
        <is>
          <t>B14</t>
        </is>
      </c>
      <c r="D15" s="5" t="n">
        <v>1</v>
      </c>
      <c r="E15" s="8">
        <f>D15/Assumptions!$B$10</f>
        <v/>
      </c>
      <c r="F15" s="7" t="n">
        <v>0</v>
      </c>
      <c r="G15" s="7" t="n">
        <v>0</v>
      </c>
      <c r="H15" s="7">
        <f>F15+G15</f>
        <v/>
      </c>
      <c r="I15" s="8">
        <f>IF(E15&gt;0,H15/E15,999)</f>
        <v/>
      </c>
      <c r="J15" s="14" t="inlineStr">
        <is>
          <t>NOT STOCKED</t>
        </is>
      </c>
    </row>
    <row r="16">
      <c r="A16" s="7" t="inlineStr">
        <is>
          <t>SP 63</t>
        </is>
      </c>
      <c r="B16" s="7" t="n">
        <v>63</v>
      </c>
      <c r="C16" s="7" t="inlineStr">
        <is>
          <t>B5</t>
        </is>
      </c>
      <c r="D16" s="5" t="n">
        <v>0</v>
      </c>
      <c r="E16" s="8">
        <f>D16/Assumptions!$B$10</f>
        <v/>
      </c>
      <c r="F16" s="7" t="n">
        <v>0</v>
      </c>
      <c r="G16" s="7" t="n">
        <v>1</v>
      </c>
      <c r="H16" s="7">
        <f>F16+G16</f>
        <v/>
      </c>
      <c r="I16" s="8">
        <f>IF(E16&gt;0,H16/E16,999)</f>
        <v/>
      </c>
      <c r="J16" s="15" t="inlineStr">
        <is>
          <t>No sales</t>
        </is>
      </c>
    </row>
    <row r="17">
      <c r="A17" s="7" t="inlineStr">
        <is>
          <t>SP 63</t>
        </is>
      </c>
      <c r="B17" s="7" t="n">
        <v>71</v>
      </c>
      <c r="C17" s="7" t="inlineStr">
        <is>
          <t>B14</t>
        </is>
      </c>
      <c r="D17" s="5" t="n">
        <v>28</v>
      </c>
      <c r="E17" s="8">
        <f>D17/Assumptions!$B$10</f>
        <v/>
      </c>
      <c r="F17" s="7" t="n">
        <v>65</v>
      </c>
      <c r="G17" s="7" t="n">
        <v>22</v>
      </c>
      <c r="H17" s="7">
        <f>F17+G17</f>
        <v/>
      </c>
      <c r="I17" s="8">
        <f>IF(E17&gt;0,H17/E17,999)</f>
        <v/>
      </c>
      <c r="J17" s="9" t="inlineStr">
        <is>
          <t>Heavy</t>
        </is>
      </c>
    </row>
    <row r="18">
      <c r="A18" s="7" t="inlineStr">
        <is>
          <t>SP 63</t>
        </is>
      </c>
      <c r="B18" s="7" t="n">
        <v>80</v>
      </c>
      <c r="C18" s="7" t="inlineStr">
        <is>
          <t>B14</t>
        </is>
      </c>
      <c r="D18" s="5" t="n">
        <v>959</v>
      </c>
      <c r="E18" s="8">
        <f>D18/Assumptions!$B$10</f>
        <v/>
      </c>
      <c r="F18" s="7" t="n">
        <v>768</v>
      </c>
      <c r="G18" s="7" t="n">
        <v>1120</v>
      </c>
      <c r="H18" s="7">
        <f>F18+G18</f>
        <v/>
      </c>
      <c r="I18" s="8">
        <f>IF(E18&gt;0,H18/E18,999)</f>
        <v/>
      </c>
      <c r="J18" s="11" t="inlineStr">
        <is>
          <t>Balanced</t>
        </is>
      </c>
    </row>
    <row r="19">
      <c r="A19" s="7" t="inlineStr">
        <is>
          <t>SP 63</t>
        </is>
      </c>
      <c r="B19" s="7" t="n">
        <v>80</v>
      </c>
      <c r="C19" s="7" t="inlineStr">
        <is>
          <t>B5</t>
        </is>
      </c>
      <c r="D19" s="5" t="n">
        <v>227</v>
      </c>
      <c r="E19" s="8">
        <f>D19/Assumptions!$B$10</f>
        <v/>
      </c>
      <c r="F19" s="7" t="n">
        <v>10</v>
      </c>
      <c r="G19" s="7" t="n">
        <v>20</v>
      </c>
      <c r="H19" s="7">
        <f>F19+G19</f>
        <v/>
      </c>
      <c r="I19" s="8">
        <f>IF(E19&gt;0,H19/E19,999)</f>
        <v/>
      </c>
      <c r="J19" s="12" t="inlineStr">
        <is>
          <t>MISSING</t>
        </is>
      </c>
    </row>
    <row r="20">
      <c r="A20" s="7" t="inlineStr">
        <is>
          <t>SP 63</t>
        </is>
      </c>
      <c r="B20" s="7" t="n">
        <v>90</v>
      </c>
      <c r="C20" s="7" t="inlineStr">
        <is>
          <t>B14</t>
        </is>
      </c>
      <c r="D20" s="5" t="n">
        <v>903</v>
      </c>
      <c r="E20" s="8">
        <f>D20/Assumptions!$B$10</f>
        <v/>
      </c>
      <c r="F20" s="7" t="n">
        <v>153</v>
      </c>
      <c r="G20" s="7" t="n">
        <v>786</v>
      </c>
      <c r="H20" s="7">
        <f>F20+G20</f>
        <v/>
      </c>
      <c r="I20" s="8">
        <f>IF(E20&gt;0,H20/E20,999)</f>
        <v/>
      </c>
      <c r="J20" s="13" t="inlineStr">
        <is>
          <t>Tight</t>
        </is>
      </c>
    </row>
    <row r="21">
      <c r="A21" s="7" t="inlineStr">
        <is>
          <t>SP 63</t>
        </is>
      </c>
      <c r="B21" s="7" t="n">
        <v>90</v>
      </c>
      <c r="C21" s="7" t="inlineStr">
        <is>
          <t>B5</t>
        </is>
      </c>
      <c r="D21" s="5" t="n">
        <v>126</v>
      </c>
      <c r="E21" s="8">
        <f>D21/Assumptions!$B$10</f>
        <v/>
      </c>
      <c r="F21" s="7" t="n">
        <v>105</v>
      </c>
      <c r="G21" s="7" t="n">
        <v>30</v>
      </c>
      <c r="H21" s="7">
        <f>F21+G21</f>
        <v/>
      </c>
      <c r="I21" s="8">
        <f>IF(E21&gt;0,H21/E21,999)</f>
        <v/>
      </c>
      <c r="J21" s="13" t="inlineStr">
        <is>
          <t>Tight</t>
        </is>
      </c>
    </row>
    <row r="22">
      <c r="A22" s="7" t="inlineStr">
        <is>
          <t>SP 75</t>
        </is>
      </c>
      <c r="B22" s="7" t="n">
        <v>80</v>
      </c>
      <c r="C22" s="7" t="inlineStr">
        <is>
          <t>B14</t>
        </is>
      </c>
      <c r="D22" s="5" t="n">
        <v>141</v>
      </c>
      <c r="E22" s="8">
        <f>D22/Assumptions!$B$10</f>
        <v/>
      </c>
      <c r="F22" s="7" t="n">
        <v>3</v>
      </c>
      <c r="G22" s="7" t="n">
        <v>159</v>
      </c>
      <c r="H22" s="7">
        <f>F22+G22</f>
        <v/>
      </c>
      <c r="I22" s="8">
        <f>IF(E22&gt;0,H22/E22,999)</f>
        <v/>
      </c>
      <c r="J22" s="11" t="inlineStr">
        <is>
          <t>Balanced</t>
        </is>
      </c>
    </row>
    <row r="23">
      <c r="A23" s="7" t="inlineStr">
        <is>
          <t>SP 75</t>
        </is>
      </c>
      <c r="B23" s="7" t="n">
        <v>80</v>
      </c>
      <c r="C23" s="7" t="inlineStr">
        <is>
          <t>B5</t>
        </is>
      </c>
      <c r="D23" s="5" t="n">
        <v>35</v>
      </c>
      <c r="E23" s="8">
        <f>D23/Assumptions!$B$10</f>
        <v/>
      </c>
      <c r="F23" s="7" t="n">
        <v>0</v>
      </c>
      <c r="G23" s="7" t="n">
        <v>0</v>
      </c>
      <c r="H23" s="7">
        <f>F23+G23</f>
        <v/>
      </c>
      <c r="I23" s="8">
        <f>IF(E23&gt;0,H23/E23,999)</f>
        <v/>
      </c>
      <c r="J23" s="14" t="inlineStr">
        <is>
          <t>NOT STOCKED</t>
        </is>
      </c>
    </row>
    <row r="24">
      <c r="A24" s="7" t="inlineStr">
        <is>
          <t>SP 75</t>
        </is>
      </c>
      <c r="B24" s="7" t="n">
        <v>90</v>
      </c>
      <c r="C24" s="7" t="inlineStr">
        <is>
          <t>B14</t>
        </is>
      </c>
      <c r="D24" s="5" t="n">
        <v>582</v>
      </c>
      <c r="E24" s="8">
        <f>D24/Assumptions!$B$10</f>
        <v/>
      </c>
      <c r="F24" s="7" t="n">
        <v>75</v>
      </c>
      <c r="G24" s="7" t="n">
        <v>82</v>
      </c>
      <c r="H24" s="7">
        <f>F24+G24</f>
        <v/>
      </c>
      <c r="I24" s="8">
        <f>IF(E24&gt;0,H24/E24,999)</f>
        <v/>
      </c>
      <c r="J24" s="12" t="inlineStr">
        <is>
          <t>MISSING</t>
        </is>
      </c>
    </row>
    <row r="25">
      <c r="A25" s="7" t="inlineStr">
        <is>
          <t>SP 75</t>
        </is>
      </c>
      <c r="B25" s="7" t="n">
        <v>90</v>
      </c>
      <c r="C25" s="7" t="inlineStr">
        <is>
          <t>B5</t>
        </is>
      </c>
      <c r="D25" s="5" t="n">
        <v>310</v>
      </c>
      <c r="E25" s="8">
        <f>D25/Assumptions!$B$10</f>
        <v/>
      </c>
      <c r="F25" s="7" t="n">
        <v>35</v>
      </c>
      <c r="G25" s="7" t="n">
        <v>51</v>
      </c>
      <c r="H25" s="7">
        <f>F25+G25</f>
        <v/>
      </c>
      <c r="I25" s="8">
        <f>IF(E25&gt;0,H25/E25,999)</f>
        <v/>
      </c>
      <c r="J25" s="12" t="inlineStr">
        <is>
          <t>MISSING</t>
        </is>
      </c>
    </row>
    <row r="26">
      <c r="A26" s="7" t="inlineStr">
        <is>
          <t>SP 75</t>
        </is>
      </c>
      <c r="B26" s="7" t="n">
        <v>100</v>
      </c>
      <c r="C26" s="7" t="inlineStr">
        <is>
          <t>B14</t>
        </is>
      </c>
      <c r="D26" s="5" t="n">
        <v>104</v>
      </c>
      <c r="E26" s="8">
        <f>D26/Assumptions!$B$10</f>
        <v/>
      </c>
      <c r="F26" s="7" t="n">
        <v>0</v>
      </c>
      <c r="G26" s="7" t="n">
        <v>50</v>
      </c>
      <c r="H26" s="7">
        <f>F26+G26</f>
        <v/>
      </c>
      <c r="I26" s="8">
        <f>IF(E26&gt;0,H26/E26,999)</f>
        <v/>
      </c>
      <c r="J26" s="12" t="inlineStr">
        <is>
          <t>MISSING</t>
        </is>
      </c>
    </row>
    <row r="27">
      <c r="A27" s="7" t="inlineStr">
        <is>
          <t>SP 75</t>
        </is>
      </c>
      <c r="B27" s="7" t="n">
        <v>100</v>
      </c>
      <c r="C27" s="7" t="inlineStr">
        <is>
          <t>B5</t>
        </is>
      </c>
      <c r="D27" s="5" t="n">
        <v>11</v>
      </c>
      <c r="E27" s="8">
        <f>D27/Assumptions!$B$10</f>
        <v/>
      </c>
      <c r="F27" s="7" t="n">
        <v>0</v>
      </c>
      <c r="G27" s="7" t="n">
        <v>0</v>
      </c>
      <c r="H27" s="7">
        <f>F27+G27</f>
        <v/>
      </c>
      <c r="I27" s="8">
        <f>IF(E27&gt;0,H27/E27,999)</f>
        <v/>
      </c>
      <c r="J27" s="14" t="inlineStr">
        <is>
          <t>NOT STOCKED</t>
        </is>
      </c>
    </row>
    <row r="28">
      <c r="A28" s="7" t="inlineStr">
        <is>
          <t>SP 90</t>
        </is>
      </c>
      <c r="B28" s="7" t="n">
        <v>80</v>
      </c>
      <c r="C28" s="7" t="inlineStr">
        <is>
          <t>B14</t>
        </is>
      </c>
      <c r="D28" s="5" t="n">
        <v>16</v>
      </c>
      <c r="E28" s="8">
        <f>D28/Assumptions!$B$10</f>
        <v/>
      </c>
      <c r="F28" s="7" t="n">
        <v>5</v>
      </c>
      <c r="G28" s="7" t="n">
        <v>0</v>
      </c>
      <c r="H28" s="7">
        <f>F28+G28</f>
        <v/>
      </c>
      <c r="I28" s="8">
        <f>IF(E28&gt;0,H28/E28,999)</f>
        <v/>
      </c>
      <c r="J28" s="12" t="inlineStr">
        <is>
          <t>MISSING</t>
        </is>
      </c>
    </row>
    <row r="29">
      <c r="A29" s="7" t="inlineStr">
        <is>
          <t>SP 90</t>
        </is>
      </c>
      <c r="B29" s="7" t="n">
        <v>80</v>
      </c>
      <c r="C29" s="7" t="inlineStr">
        <is>
          <t>B5</t>
        </is>
      </c>
      <c r="D29" s="5" t="n">
        <v>2</v>
      </c>
      <c r="E29" s="8">
        <f>D29/Assumptions!$B$10</f>
        <v/>
      </c>
      <c r="F29" s="7" t="n">
        <v>5</v>
      </c>
      <c r="G29" s="7" t="n">
        <v>0</v>
      </c>
      <c r="H29" s="7">
        <f>F29+G29</f>
        <v/>
      </c>
      <c r="I29" s="8">
        <f>IF(E29&gt;0,H29/E29,999)</f>
        <v/>
      </c>
      <c r="J29" s="9" t="inlineStr">
        <is>
          <t>Heavy</t>
        </is>
      </c>
    </row>
    <row r="30">
      <c r="A30" s="7" t="inlineStr">
        <is>
          <t>SP 90</t>
        </is>
      </c>
      <c r="B30" s="7" t="n">
        <v>90</v>
      </c>
      <c r="C30" s="7" t="inlineStr">
        <is>
          <t>B14</t>
        </is>
      </c>
      <c r="D30" s="5" t="n">
        <v>228</v>
      </c>
      <c r="E30" s="8">
        <f>D30/Assumptions!$B$10</f>
        <v/>
      </c>
      <c r="F30" s="7" t="n">
        <v>60</v>
      </c>
      <c r="G30" s="7" t="n">
        <v>132</v>
      </c>
      <c r="H30" s="7">
        <f>F30+G30</f>
        <v/>
      </c>
      <c r="I30" s="8">
        <f>IF(E30&gt;0,H30/E30,999)</f>
        <v/>
      </c>
      <c r="J30" s="13" t="inlineStr">
        <is>
          <t>Tight</t>
        </is>
      </c>
    </row>
    <row r="31">
      <c r="A31" s="7" t="inlineStr">
        <is>
          <t>SP 90</t>
        </is>
      </c>
      <c r="B31" s="7" t="n">
        <v>90</v>
      </c>
      <c r="C31" s="7" t="inlineStr">
        <is>
          <t>B5</t>
        </is>
      </c>
      <c r="D31" s="5" t="n">
        <v>94</v>
      </c>
      <c r="E31" s="8">
        <f>D31/Assumptions!$B$10</f>
        <v/>
      </c>
      <c r="F31" s="7" t="n">
        <v>5</v>
      </c>
      <c r="G31" s="7" t="n">
        <v>30</v>
      </c>
      <c r="H31" s="7">
        <f>F31+G31</f>
        <v/>
      </c>
      <c r="I31" s="8">
        <f>IF(E31&gt;0,H31/E31,999)</f>
        <v/>
      </c>
      <c r="J31" s="12" t="inlineStr">
        <is>
          <t>MISSING</t>
        </is>
      </c>
    </row>
    <row r="32">
      <c r="A32" s="7" t="inlineStr">
        <is>
          <t>SP 90</t>
        </is>
      </c>
      <c r="B32" s="7" t="n">
        <v>100</v>
      </c>
      <c r="C32" s="7" t="inlineStr">
        <is>
          <t>B14</t>
        </is>
      </c>
      <c r="D32" s="5" t="n">
        <v>270</v>
      </c>
      <c r="E32" s="8">
        <f>D32/Assumptions!$B$10</f>
        <v/>
      </c>
      <c r="F32" s="7" t="n">
        <v>100</v>
      </c>
      <c r="G32" s="7" t="n">
        <v>711</v>
      </c>
      <c r="H32" s="7">
        <f>F32+G32</f>
        <v/>
      </c>
      <c r="I32" s="8">
        <f>IF(E32&gt;0,H32/E32,999)</f>
        <v/>
      </c>
      <c r="J32" s="9" t="inlineStr">
        <is>
          <t>Heavy</t>
        </is>
      </c>
    </row>
    <row r="33">
      <c r="A33" s="7" t="inlineStr">
        <is>
          <t>SP 90</t>
        </is>
      </c>
      <c r="B33" s="7" t="n">
        <v>100</v>
      </c>
      <c r="C33" s="7" t="inlineStr">
        <is>
          <t>B5</t>
        </is>
      </c>
      <c r="D33" s="5" t="n">
        <v>76</v>
      </c>
      <c r="E33" s="8">
        <f>D33/Assumptions!$B$10</f>
        <v/>
      </c>
      <c r="F33" s="7" t="n">
        <v>31</v>
      </c>
      <c r="G33" s="7" t="n">
        <v>50</v>
      </c>
      <c r="H33" s="7">
        <f>F33+G33</f>
        <v/>
      </c>
      <c r="I33" s="8">
        <f>IF(E33&gt;0,H33/E33,999)</f>
        <v/>
      </c>
      <c r="J33" s="13" t="inlineStr">
        <is>
          <t>Tight</t>
        </is>
      </c>
    </row>
    <row r="34">
      <c r="A34" s="7" t="inlineStr">
        <is>
          <t>SP 90</t>
        </is>
      </c>
      <c r="B34" s="7" t="n">
        <v>112</v>
      </c>
      <c r="C34" s="7" t="inlineStr">
        <is>
          <t>B14</t>
        </is>
      </c>
      <c r="D34" s="5" t="n">
        <v>2</v>
      </c>
      <c r="E34" s="8">
        <f>D34/Assumptions!$B$10</f>
        <v/>
      </c>
      <c r="F34" s="7" t="n">
        <v>8</v>
      </c>
      <c r="G34" s="7" t="n">
        <v>0</v>
      </c>
      <c r="H34" s="7">
        <f>F34+G34</f>
        <v/>
      </c>
      <c r="I34" s="8">
        <f>IF(E34&gt;0,H34/E34,999)</f>
        <v/>
      </c>
      <c r="J34" s="9" t="inlineStr">
        <is>
          <t>Heavy</t>
        </is>
      </c>
    </row>
    <row r="35">
      <c r="A35" s="7" t="inlineStr">
        <is>
          <t>SP 90</t>
        </is>
      </c>
      <c r="B35" s="7" t="n">
        <v>112</v>
      </c>
      <c r="C35" s="7" t="inlineStr">
        <is>
          <t>B5</t>
        </is>
      </c>
      <c r="D35" s="5" t="n">
        <v>0</v>
      </c>
      <c r="E35" s="8">
        <f>D35/Assumptions!$B$10</f>
        <v/>
      </c>
      <c r="F35" s="7" t="n">
        <v>10</v>
      </c>
      <c r="G35" s="7" t="n">
        <v>0</v>
      </c>
      <c r="H35" s="7">
        <f>F35+G35</f>
        <v/>
      </c>
      <c r="I35" s="8">
        <f>IF(E35&gt;0,H35/E35,999)</f>
        <v/>
      </c>
      <c r="J35" s="15" t="inlineStr">
        <is>
          <t>No sales</t>
        </is>
      </c>
    </row>
    <row r="36">
      <c r="A36" s="7" t="inlineStr">
        <is>
          <t>SP 110</t>
        </is>
      </c>
      <c r="B36" s="7" t="n">
        <v>90</v>
      </c>
      <c r="C36" s="7" t="inlineStr">
        <is>
          <t>B14</t>
        </is>
      </c>
      <c r="D36" s="5" t="n">
        <v>1</v>
      </c>
      <c r="E36" s="8">
        <f>D36/Assumptions!$B$10</f>
        <v/>
      </c>
      <c r="F36" s="7" t="n">
        <v>0</v>
      </c>
      <c r="G36" s="7" t="n">
        <v>6</v>
      </c>
      <c r="H36" s="7">
        <f>F36+G36</f>
        <v/>
      </c>
      <c r="I36" s="8">
        <f>IF(E36&gt;0,H36/E36,999)</f>
        <v/>
      </c>
      <c r="J36" s="9" t="inlineStr">
        <is>
          <t>Heavy</t>
        </is>
      </c>
    </row>
    <row r="37">
      <c r="A37" s="7" t="inlineStr">
        <is>
          <t>SP 110</t>
        </is>
      </c>
      <c r="B37" s="7" t="n">
        <v>90</v>
      </c>
      <c r="C37" s="7" t="inlineStr">
        <is>
          <t>B5</t>
        </is>
      </c>
      <c r="D37" s="5" t="n">
        <v>10</v>
      </c>
      <c r="E37" s="8">
        <f>D37/Assumptions!$B$10</f>
        <v/>
      </c>
      <c r="F37" s="7" t="n">
        <v>0</v>
      </c>
      <c r="G37" s="7" t="n">
        <v>0</v>
      </c>
      <c r="H37" s="7">
        <f>F37+G37</f>
        <v/>
      </c>
      <c r="I37" s="8">
        <f>IF(E37&gt;0,H37/E37,999)</f>
        <v/>
      </c>
      <c r="J37" s="14" t="inlineStr">
        <is>
          <t>NOT STOCKED</t>
        </is>
      </c>
    </row>
    <row r="38">
      <c r="A38" s="7" t="inlineStr">
        <is>
          <t>SP 110</t>
        </is>
      </c>
      <c r="B38" s="7" t="n">
        <v>100</v>
      </c>
      <c r="C38" s="7" t="inlineStr">
        <is>
          <t>B14</t>
        </is>
      </c>
      <c r="D38" s="5" t="n">
        <v>285</v>
      </c>
      <c r="E38" s="8">
        <f>D38/Assumptions!$B$10</f>
        <v/>
      </c>
      <c r="F38" s="7" t="n">
        <v>177</v>
      </c>
      <c r="G38" s="7" t="n">
        <v>50</v>
      </c>
      <c r="H38" s="7">
        <f>F38+G38</f>
        <v/>
      </c>
      <c r="I38" s="8">
        <f>IF(E38&gt;0,H38/E38,999)</f>
        <v/>
      </c>
      <c r="J38" s="13" t="inlineStr">
        <is>
          <t>Tight</t>
        </is>
      </c>
    </row>
    <row r="39">
      <c r="A39" s="7" t="inlineStr">
        <is>
          <t>SP 110</t>
        </is>
      </c>
      <c r="B39" s="7" t="n">
        <v>100</v>
      </c>
      <c r="C39" s="7" t="inlineStr">
        <is>
          <t>B5</t>
        </is>
      </c>
      <c r="D39" s="5" t="n">
        <v>56</v>
      </c>
      <c r="E39" s="8">
        <f>D39/Assumptions!$B$10</f>
        <v/>
      </c>
      <c r="F39" s="7" t="n">
        <v>3</v>
      </c>
      <c r="G39" s="7" t="n">
        <v>0</v>
      </c>
      <c r="H39" s="7">
        <f>F39+G39</f>
        <v/>
      </c>
      <c r="I39" s="8">
        <f>IF(E39&gt;0,H39/E39,999)</f>
        <v/>
      </c>
      <c r="J39" s="12" t="inlineStr">
        <is>
          <t>MISSING</t>
        </is>
      </c>
    </row>
    <row r="40">
      <c r="A40" s="7" t="inlineStr">
        <is>
          <t>SP 110</t>
        </is>
      </c>
      <c r="B40" s="7" t="n">
        <v>112</v>
      </c>
      <c r="C40" s="7" t="inlineStr">
        <is>
          <t>B14</t>
        </is>
      </c>
      <c r="D40" s="5" t="n">
        <v>33</v>
      </c>
      <c r="E40" s="8">
        <f>D40/Assumptions!$B$10</f>
        <v/>
      </c>
      <c r="F40" s="7" t="n">
        <v>83</v>
      </c>
      <c r="G40" s="7" t="n">
        <v>5</v>
      </c>
      <c r="H40" s="7">
        <f>F40+G40</f>
        <v/>
      </c>
      <c r="I40" s="8">
        <f>IF(E40&gt;0,H40/E40,999)</f>
        <v/>
      </c>
      <c r="J40" s="9" t="inlineStr">
        <is>
          <t>Heavy</t>
        </is>
      </c>
    </row>
    <row r="41">
      <c r="A41" s="7" t="inlineStr">
        <is>
          <t>SP 110</t>
        </is>
      </c>
      <c r="B41" s="7" t="n">
        <v>112</v>
      </c>
      <c r="C41" s="7" t="inlineStr">
        <is>
          <t>B5</t>
        </is>
      </c>
      <c r="D41" s="5" t="n">
        <v>114</v>
      </c>
      <c r="E41" s="8">
        <f>D41/Assumptions!$B$10</f>
        <v/>
      </c>
      <c r="F41" s="7" t="n">
        <v>8</v>
      </c>
      <c r="G41" s="7" t="n">
        <v>2</v>
      </c>
      <c r="H41" s="7">
        <f>F41+G41</f>
        <v/>
      </c>
      <c r="I41" s="8">
        <f>IF(E41&gt;0,H41/E41,999)</f>
        <v/>
      </c>
      <c r="J41" s="12" t="inlineStr">
        <is>
          <t>MISSING</t>
        </is>
      </c>
    </row>
    <row r="42">
      <c r="A42" s="7" t="inlineStr">
        <is>
          <t>SP 110</t>
        </is>
      </c>
      <c r="B42" s="7" t="n">
        <v>132</v>
      </c>
      <c r="C42" s="7" t="inlineStr">
        <is>
          <t>B5</t>
        </is>
      </c>
      <c r="D42" s="5" t="n">
        <v>34</v>
      </c>
      <c r="E42" s="8">
        <f>D42/Assumptions!$B$10</f>
        <v/>
      </c>
      <c r="F42" s="7" t="n">
        <v>0</v>
      </c>
      <c r="G42" s="7" t="n">
        <v>0</v>
      </c>
      <c r="H42" s="7">
        <f>F42+G42</f>
        <v/>
      </c>
      <c r="I42" s="8">
        <f>IF(E42&gt;0,H42/E42,999)</f>
        <v/>
      </c>
      <c r="J42" s="14" t="inlineStr">
        <is>
          <t>NOT STOCKED</t>
        </is>
      </c>
    </row>
    <row r="43">
      <c r="A43" s="7" t="inlineStr">
        <is>
          <t>SP 130</t>
        </is>
      </c>
      <c r="B43" s="7" t="n">
        <v>100</v>
      </c>
      <c r="C43" s="7" t="inlineStr">
        <is>
          <t>B5</t>
        </is>
      </c>
      <c r="D43" s="5" t="n">
        <v>11</v>
      </c>
      <c r="E43" s="8">
        <f>D43/Assumptions!$B$10</f>
        <v/>
      </c>
      <c r="F43" s="7" t="n">
        <v>0</v>
      </c>
      <c r="G43" s="7" t="n">
        <v>0</v>
      </c>
      <c r="H43" s="7">
        <f>F43+G43</f>
        <v/>
      </c>
      <c r="I43" s="8">
        <f>IF(E43&gt;0,H43/E43,999)</f>
        <v/>
      </c>
      <c r="J43" s="14" t="inlineStr">
        <is>
          <t>NOT STOCKED</t>
        </is>
      </c>
    </row>
    <row r="44">
      <c r="A44" s="7" t="inlineStr">
        <is>
          <t>SP 130</t>
        </is>
      </c>
      <c r="B44" s="7" t="n">
        <v>112</v>
      </c>
      <c r="C44" s="7" t="inlineStr">
        <is>
          <t>B14</t>
        </is>
      </c>
      <c r="D44" s="5" t="n">
        <v>157</v>
      </c>
      <c r="E44" s="8">
        <f>D44/Assumptions!$B$10</f>
        <v/>
      </c>
      <c r="F44" s="7" t="n">
        <v>271</v>
      </c>
      <c r="G44" s="7" t="n">
        <v>5</v>
      </c>
      <c r="H44" s="7">
        <f>F44+G44</f>
        <v/>
      </c>
      <c r="I44" s="8">
        <f>IF(E44&gt;0,H44/E44,999)</f>
        <v/>
      </c>
      <c r="J44" s="11" t="inlineStr">
        <is>
          <t>Balanced</t>
        </is>
      </c>
    </row>
    <row r="45">
      <c r="A45" s="7" t="inlineStr">
        <is>
          <t>SP 130</t>
        </is>
      </c>
      <c r="B45" s="7" t="n">
        <v>112</v>
      </c>
      <c r="C45" s="7" t="inlineStr">
        <is>
          <t>B5</t>
        </is>
      </c>
      <c r="D45" s="5" t="n">
        <v>15</v>
      </c>
      <c r="E45" s="8">
        <f>D45/Assumptions!$B$10</f>
        <v/>
      </c>
      <c r="F45" s="7" t="n">
        <v>10</v>
      </c>
      <c r="G45" s="7" t="n">
        <v>0</v>
      </c>
      <c r="H45" s="7">
        <f>F45+G45</f>
        <v/>
      </c>
      <c r="I45" s="8">
        <f>IF(E45&gt;0,H45/E45,999)</f>
        <v/>
      </c>
      <c r="J45" s="12" t="inlineStr">
        <is>
          <t>MISSING</t>
        </is>
      </c>
    </row>
    <row r="46">
      <c r="A46" s="7" t="inlineStr">
        <is>
          <t>SP 130</t>
        </is>
      </c>
      <c r="B46" s="7" t="n">
        <v>132</v>
      </c>
      <c r="C46" s="7" t="inlineStr">
        <is>
          <t>B14</t>
        </is>
      </c>
      <c r="D46" s="5" t="n">
        <v>131</v>
      </c>
      <c r="E46" s="8">
        <f>D46/Assumptions!$B$10</f>
        <v/>
      </c>
      <c r="F46" s="7" t="n">
        <v>5</v>
      </c>
      <c r="G46" s="7" t="n">
        <v>2</v>
      </c>
      <c r="H46" s="7">
        <f>F46+G46</f>
        <v/>
      </c>
      <c r="I46" s="8">
        <f>IF(E46&gt;0,H46/E46,999)</f>
        <v/>
      </c>
      <c r="J46" s="12" t="inlineStr">
        <is>
          <t>MISSING</t>
        </is>
      </c>
    </row>
    <row r="47">
      <c r="A47" s="7" t="inlineStr">
        <is>
          <t>SP 130</t>
        </is>
      </c>
      <c r="B47" s="7" t="n">
        <v>132</v>
      </c>
      <c r="C47" s="7" t="inlineStr">
        <is>
          <t>B5</t>
        </is>
      </c>
      <c r="D47" s="5" t="n">
        <v>39</v>
      </c>
      <c r="E47" s="8">
        <f>D47/Assumptions!$B$10</f>
        <v/>
      </c>
      <c r="F47" s="7" t="n">
        <v>0</v>
      </c>
      <c r="G47" s="7" t="n">
        <v>0</v>
      </c>
      <c r="H47" s="7">
        <f>F47+G47</f>
        <v/>
      </c>
      <c r="I47" s="8">
        <f>IF(E47&gt;0,H47/E47,999)</f>
        <v/>
      </c>
      <c r="J47" s="14" t="inlineStr">
        <is>
          <t>NOT STOCKED</t>
        </is>
      </c>
    </row>
    <row r="48">
      <c r="A48" s="7" t="inlineStr">
        <is>
          <t>SP 150</t>
        </is>
      </c>
      <c r="B48" s="7" t="n">
        <v>100</v>
      </c>
      <c r="C48" s="7" t="inlineStr">
        <is>
          <t>B5</t>
        </is>
      </c>
      <c r="D48" s="5" t="n">
        <v>2</v>
      </c>
      <c r="E48" s="8">
        <f>D48/Assumptions!$B$10</f>
        <v/>
      </c>
      <c r="F48" s="7" t="n">
        <v>6</v>
      </c>
      <c r="G48" s="7" t="n">
        <v>0</v>
      </c>
      <c r="H48" s="7">
        <f>F48+G48</f>
        <v/>
      </c>
      <c r="I48" s="8">
        <f>IF(E48&gt;0,H48/E48,999)</f>
        <v/>
      </c>
      <c r="J48" s="9" t="inlineStr">
        <is>
          <t>Heavy</t>
        </is>
      </c>
    </row>
    <row r="49">
      <c r="A49" s="7" t="inlineStr">
        <is>
          <t>SP 150</t>
        </is>
      </c>
      <c r="B49" s="7" t="n">
        <v>112</v>
      </c>
      <c r="C49" s="7" t="inlineStr">
        <is>
          <t>B5</t>
        </is>
      </c>
      <c r="D49" s="5" t="n">
        <v>9</v>
      </c>
      <c r="E49" s="8">
        <f>D49/Assumptions!$B$10</f>
        <v/>
      </c>
      <c r="F49" s="7" t="n">
        <v>3</v>
      </c>
      <c r="G49" s="7" t="n">
        <v>0</v>
      </c>
      <c r="H49" s="7">
        <f>F49+G49</f>
        <v/>
      </c>
      <c r="I49" s="8">
        <f>IF(E49&gt;0,H49/E49,999)</f>
        <v/>
      </c>
      <c r="J49" s="12" t="inlineStr">
        <is>
          <t>MISSING</t>
        </is>
      </c>
    </row>
    <row r="50">
      <c r="A50" s="7" t="inlineStr">
        <is>
          <t>SP 150</t>
        </is>
      </c>
      <c r="B50" s="7" t="n">
        <v>132</v>
      </c>
      <c r="C50" s="7" t="inlineStr">
        <is>
          <t>B5</t>
        </is>
      </c>
      <c r="D50" s="5" t="n">
        <v>14</v>
      </c>
      <c r="E50" s="8">
        <f>D50/Assumptions!$B$10</f>
        <v/>
      </c>
      <c r="F50" s="7" t="n">
        <v>33</v>
      </c>
      <c r="G50" s="7" t="n">
        <v>50</v>
      </c>
      <c r="H50" s="7">
        <f>F50+G50</f>
        <v/>
      </c>
      <c r="I50" s="8">
        <f>IF(E50&gt;0,H50/E50,999)</f>
        <v/>
      </c>
      <c r="J50" s="9" t="inlineStr">
        <is>
          <t>Heavy</t>
        </is>
      </c>
    </row>
  </sheetData>
  <autoFilter ref="A1:J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3" customWidth="1" min="5" max="5"/>
    <col width="13" customWidth="1" min="6" max="6"/>
    <col width="11" customWidth="1" min="7" max="7"/>
    <col width="11" customWidth="1" min="8" max="8"/>
  </cols>
  <sheetData>
    <row r="1">
      <c r="A1" s="6" t="inlineStr">
        <is>
          <t>Priority</t>
        </is>
      </c>
      <c r="B1" s="6" t="inlineStr">
        <is>
          <t>Size</t>
        </is>
      </c>
      <c r="C1" s="6" t="inlineStr">
        <is>
          <t>Ratio (i)</t>
        </is>
      </c>
      <c r="D1" s="6" t="inlineStr">
        <is>
          <t>Sold YTD</t>
        </is>
      </c>
      <c r="E1" s="6" t="inlineStr">
        <is>
          <t>Cover now (mo)</t>
        </is>
      </c>
      <c r="F1" s="6" t="inlineStr">
        <is>
          <t>Suggested qty</t>
        </is>
      </c>
      <c r="G1" s="6" t="inlineStr">
        <is>
          <t>Unit FOB $</t>
        </is>
      </c>
      <c r="H1" s="6" t="inlineStr">
        <is>
          <t>Value $</t>
        </is>
      </c>
    </row>
    <row r="2">
      <c r="A2" s="7" t="inlineStr">
        <is>
          <t>P0 — not stocked</t>
        </is>
      </c>
      <c r="B2" s="7" t="inlineStr">
        <is>
          <t>SP 75</t>
        </is>
      </c>
      <c r="C2" s="7" t="n">
        <v>5</v>
      </c>
      <c r="D2" s="7" t="n">
        <v>4</v>
      </c>
      <c r="E2" s="7" t="n">
        <v>0</v>
      </c>
      <c r="F2" s="7" t="n">
        <v>10</v>
      </c>
      <c r="G2" s="7" t="n">
        <v>52</v>
      </c>
      <c r="H2" s="10">
        <f>F2*G2</f>
        <v/>
      </c>
    </row>
    <row r="3">
      <c r="A3" s="7" t="inlineStr">
        <is>
          <t>P0 — not stocked</t>
        </is>
      </c>
      <c r="B3" s="7" t="inlineStr">
        <is>
          <t>SP 75</t>
        </is>
      </c>
      <c r="C3" s="7" t="n">
        <v>20</v>
      </c>
      <c r="D3" s="7" t="n">
        <v>131</v>
      </c>
      <c r="E3" s="7" t="n">
        <v>0</v>
      </c>
      <c r="F3" s="7" t="n">
        <v>225</v>
      </c>
      <c r="G3" s="7" t="n">
        <v>52</v>
      </c>
      <c r="H3" s="10">
        <f>F3*G3</f>
        <v/>
      </c>
    </row>
    <row r="4">
      <c r="A4" s="7" t="inlineStr">
        <is>
          <t>P0 — not stocked</t>
        </is>
      </c>
      <c r="B4" s="7" t="inlineStr">
        <is>
          <t>SP 90</t>
        </is>
      </c>
      <c r="C4" s="7" t="n">
        <v>5</v>
      </c>
      <c r="D4" s="7" t="n">
        <v>8</v>
      </c>
      <c r="E4" s="7" t="n">
        <v>0</v>
      </c>
      <c r="F4" s="7" t="n">
        <v>15</v>
      </c>
      <c r="G4" s="7" t="n">
        <v>71</v>
      </c>
      <c r="H4" s="10">
        <f>F4*G4</f>
        <v/>
      </c>
    </row>
    <row r="5">
      <c r="A5" s="7" t="inlineStr">
        <is>
          <t>P0 — not stocked</t>
        </is>
      </c>
      <c r="B5" s="7" t="inlineStr">
        <is>
          <t>SP 90</t>
        </is>
      </c>
      <c r="C5" s="7" t="n">
        <v>100</v>
      </c>
      <c r="D5" s="7" t="n">
        <v>72</v>
      </c>
      <c r="E5" s="7" t="n">
        <v>0</v>
      </c>
      <c r="F5" s="7" t="n">
        <v>125</v>
      </c>
      <c r="G5" s="7" t="n">
        <v>71</v>
      </c>
      <c r="H5" s="10">
        <f>F5*G5</f>
        <v/>
      </c>
    </row>
    <row r="6">
      <c r="A6" s="7" t="inlineStr">
        <is>
          <t>P0 — not stocked</t>
        </is>
      </c>
      <c r="B6" s="7" t="inlineStr">
        <is>
          <t>SP 110</t>
        </is>
      </c>
      <c r="C6" s="7" t="n">
        <v>10</v>
      </c>
      <c r="D6" s="7" t="n">
        <v>16</v>
      </c>
      <c r="E6" s="7" t="n">
        <v>0</v>
      </c>
      <c r="F6" s="7" t="n">
        <v>30</v>
      </c>
      <c r="G6" s="7" t="n">
        <v>115</v>
      </c>
      <c r="H6" s="10">
        <f>F6*G6</f>
        <v/>
      </c>
    </row>
    <row r="7">
      <c r="A7" s="7" t="inlineStr">
        <is>
          <t>P0 — not stocked</t>
        </is>
      </c>
      <c r="B7" s="7" t="inlineStr">
        <is>
          <t>SP 110</t>
        </is>
      </c>
      <c r="C7" s="7" t="n">
        <v>50</v>
      </c>
      <c r="D7" s="7" t="n">
        <v>35</v>
      </c>
      <c r="E7" s="7" t="n">
        <v>0</v>
      </c>
      <c r="F7" s="7" t="n">
        <v>60</v>
      </c>
      <c r="G7" s="7" t="n">
        <v>115</v>
      </c>
      <c r="H7" s="10">
        <f>F7*G7</f>
        <v/>
      </c>
    </row>
    <row r="8">
      <c r="A8" s="7" t="inlineStr">
        <is>
          <t>P0 — not stocked</t>
        </is>
      </c>
      <c r="B8" s="7" t="inlineStr">
        <is>
          <t>SP 130</t>
        </is>
      </c>
      <c r="C8" s="7" t="n">
        <v>7.5</v>
      </c>
      <c r="D8" s="7" t="n">
        <v>7</v>
      </c>
      <c r="E8" s="7" t="n">
        <v>0</v>
      </c>
      <c r="F8" s="7" t="n">
        <v>15</v>
      </c>
      <c r="G8" s="7" t="n">
        <v>151</v>
      </c>
      <c r="H8" s="10">
        <f>F8*G8</f>
        <v/>
      </c>
    </row>
    <row r="9">
      <c r="A9" s="7" t="inlineStr">
        <is>
          <t>P0 — not stocked</t>
        </is>
      </c>
      <c r="B9" s="7" t="inlineStr">
        <is>
          <t>SP 130</t>
        </is>
      </c>
      <c r="C9" s="7" t="n">
        <v>10</v>
      </c>
      <c r="D9" s="7" t="n">
        <v>6</v>
      </c>
      <c r="E9" s="7" t="n">
        <v>0</v>
      </c>
      <c r="F9" s="7" t="n">
        <v>15</v>
      </c>
      <c r="G9" s="7" t="n">
        <v>151</v>
      </c>
      <c r="H9" s="10">
        <f>F9*G9</f>
        <v/>
      </c>
    </row>
    <row r="10">
      <c r="A10" s="7" t="inlineStr">
        <is>
          <t>P0 — not stocked</t>
        </is>
      </c>
      <c r="B10" s="7" t="inlineStr">
        <is>
          <t>SP 130</t>
        </is>
      </c>
      <c r="C10" s="7" t="n">
        <v>20</v>
      </c>
      <c r="D10" s="7" t="n">
        <v>9</v>
      </c>
      <c r="E10" s="7" t="n">
        <v>0</v>
      </c>
      <c r="F10" s="7" t="n">
        <v>20</v>
      </c>
      <c r="G10" s="7" t="n">
        <v>151</v>
      </c>
      <c r="H10" s="10">
        <f>F10*G10</f>
        <v/>
      </c>
    </row>
    <row r="11">
      <c r="A11" s="7" t="inlineStr">
        <is>
          <t>P0 — not stocked</t>
        </is>
      </c>
      <c r="B11" s="7" t="inlineStr">
        <is>
          <t>SP 130</t>
        </is>
      </c>
      <c r="C11" s="7" t="n">
        <v>25</v>
      </c>
      <c r="D11" s="7" t="n">
        <v>7</v>
      </c>
      <c r="E11" s="7" t="n">
        <v>0</v>
      </c>
      <c r="F11" s="7" t="n">
        <v>15</v>
      </c>
      <c r="G11" s="7" t="n">
        <v>151</v>
      </c>
      <c r="H11" s="10">
        <f>F11*G11</f>
        <v/>
      </c>
    </row>
    <row r="12">
      <c r="A12" s="7" t="inlineStr">
        <is>
          <t>P0 — not stocked</t>
        </is>
      </c>
      <c r="B12" s="7" t="inlineStr">
        <is>
          <t>SP 130</t>
        </is>
      </c>
      <c r="C12" s="7" t="n">
        <v>60</v>
      </c>
      <c r="D12" s="7" t="n">
        <v>14</v>
      </c>
      <c r="E12" s="7" t="n">
        <v>0</v>
      </c>
      <c r="F12" s="7" t="n">
        <v>25</v>
      </c>
      <c r="G12" s="7" t="n">
        <v>151</v>
      </c>
      <c r="H12" s="10">
        <f>F12*G12</f>
        <v/>
      </c>
    </row>
    <row r="13">
      <c r="A13" s="7" t="inlineStr">
        <is>
          <t>P0 — not stocked</t>
        </is>
      </c>
      <c r="B13" s="7" t="inlineStr">
        <is>
          <t>SP 130</t>
        </is>
      </c>
      <c r="C13" s="7" t="n">
        <v>100</v>
      </c>
      <c r="D13" s="7" t="n">
        <v>10</v>
      </c>
      <c r="E13" s="7" t="n">
        <v>0</v>
      </c>
      <c r="F13" s="7" t="n">
        <v>20</v>
      </c>
      <c r="G13" s="7" t="n">
        <v>151</v>
      </c>
      <c r="H13" s="10">
        <f>F13*G13</f>
        <v/>
      </c>
    </row>
    <row r="14">
      <c r="A14" s="7" t="inlineStr">
        <is>
          <t>P0 — not stocked</t>
        </is>
      </c>
      <c r="B14" s="7" t="inlineStr">
        <is>
          <t>SP 150</t>
        </is>
      </c>
      <c r="C14" s="7" t="n">
        <v>25</v>
      </c>
      <c r="D14" s="7" t="n">
        <v>3</v>
      </c>
      <c r="E14" s="7" t="n">
        <v>0</v>
      </c>
      <c r="F14" s="7" t="n">
        <v>10</v>
      </c>
      <c r="G14" s="7" t="n">
        <v>255</v>
      </c>
      <c r="H14" s="10">
        <f>F14*G14</f>
        <v/>
      </c>
    </row>
    <row r="15">
      <c r="A15" s="7" t="inlineStr">
        <is>
          <t>P1 — order now</t>
        </is>
      </c>
      <c r="B15" s="7" t="inlineStr">
        <is>
          <t>SP 40</t>
        </is>
      </c>
      <c r="C15" s="7" t="n">
        <v>60</v>
      </c>
      <c r="D15" s="7" t="n">
        <v>236</v>
      </c>
      <c r="E15" s="7" t="n">
        <v>0.1</v>
      </c>
      <c r="F15" s="7" t="n">
        <v>400</v>
      </c>
      <c r="G15" s="7" t="n">
        <v>17.3</v>
      </c>
      <c r="H15" s="10">
        <f>F15*G15</f>
        <v/>
      </c>
    </row>
    <row r="16">
      <c r="A16" s="7" t="inlineStr">
        <is>
          <t>P1 — order now</t>
        </is>
      </c>
      <c r="B16" s="7" t="inlineStr">
        <is>
          <t>SP 40</t>
        </is>
      </c>
      <c r="C16" s="7" t="n">
        <v>40</v>
      </c>
      <c r="D16" s="7" t="n">
        <v>821</v>
      </c>
      <c r="E16" s="7" t="n">
        <v>0.3</v>
      </c>
      <c r="F16" s="7" t="n">
        <v>1370</v>
      </c>
      <c r="G16" s="7" t="n">
        <v>17.3</v>
      </c>
      <c r="H16" s="10">
        <f>F16*G16</f>
        <v/>
      </c>
    </row>
    <row r="17">
      <c r="A17" s="7" t="inlineStr">
        <is>
          <t>P1 — order now</t>
        </is>
      </c>
      <c r="B17" s="7" t="inlineStr">
        <is>
          <t>SP 110</t>
        </is>
      </c>
      <c r="C17" s="7" t="n">
        <v>15</v>
      </c>
      <c r="D17" s="7" t="n">
        <v>37</v>
      </c>
      <c r="E17" s="7" t="n">
        <v>0.6</v>
      </c>
      <c r="F17" s="7" t="n">
        <v>65</v>
      </c>
      <c r="G17" s="7" t="n">
        <v>115</v>
      </c>
      <c r="H17" s="10">
        <f>F17*G17</f>
        <v/>
      </c>
    </row>
    <row r="18">
      <c r="A18" s="7" t="inlineStr">
        <is>
          <t>P1 — order now</t>
        </is>
      </c>
      <c r="B18" s="7" t="inlineStr">
        <is>
          <t>SP 30</t>
        </is>
      </c>
      <c r="C18" s="7" t="n">
        <v>50</v>
      </c>
      <c r="D18" s="7" t="n">
        <v>64</v>
      </c>
      <c r="E18" s="7" t="n">
        <v>0.7</v>
      </c>
      <c r="F18" s="7" t="n">
        <v>105</v>
      </c>
      <c r="G18" s="7" t="n">
        <v>14.9</v>
      </c>
      <c r="H18" s="10">
        <f>F18*G18</f>
        <v/>
      </c>
    </row>
    <row r="19">
      <c r="A19" s="7" t="inlineStr">
        <is>
          <t>P1 — order now</t>
        </is>
      </c>
      <c r="B19" s="7" t="inlineStr">
        <is>
          <t>SP 63</t>
        </is>
      </c>
      <c r="C19" s="7" t="n">
        <v>60</v>
      </c>
      <c r="D19" s="7" t="n">
        <v>238</v>
      </c>
      <c r="E19" s="7" t="n">
        <v>0.7</v>
      </c>
      <c r="F19" s="7" t="n">
        <v>385</v>
      </c>
      <c r="G19" s="7" t="n">
        <v>35.5</v>
      </c>
      <c r="H19" s="10">
        <f>F19*G19</f>
        <v/>
      </c>
    </row>
    <row r="20">
      <c r="A20" s="7" t="inlineStr">
        <is>
          <t>P1 — order now</t>
        </is>
      </c>
      <c r="B20" s="7" t="inlineStr">
        <is>
          <t>SP 50</t>
        </is>
      </c>
      <c r="C20" s="7" t="n">
        <v>10</v>
      </c>
      <c r="D20" s="7" t="n">
        <v>225</v>
      </c>
      <c r="E20" s="7" t="n">
        <v>0.8</v>
      </c>
      <c r="F20" s="7" t="n">
        <v>365</v>
      </c>
      <c r="G20" s="7" t="n">
        <v>26</v>
      </c>
      <c r="H20" s="10">
        <f>F20*G20</f>
        <v/>
      </c>
    </row>
    <row r="21">
      <c r="A21" s="7" t="inlineStr">
        <is>
          <t>P1 — order now</t>
        </is>
      </c>
      <c r="B21" s="7" t="inlineStr">
        <is>
          <t>SP 110</t>
        </is>
      </c>
      <c r="C21" s="7" t="n">
        <v>80</v>
      </c>
      <c r="D21" s="7" t="n">
        <v>43</v>
      </c>
      <c r="E21" s="7" t="n">
        <v>0.8</v>
      </c>
      <c r="F21" s="7" t="n">
        <v>70</v>
      </c>
      <c r="G21" s="7" t="n">
        <v>115</v>
      </c>
      <c r="H21" s="10">
        <f>F21*G21</f>
        <v/>
      </c>
    </row>
    <row r="22">
      <c r="A22" s="7" t="inlineStr">
        <is>
          <t>P1 — order now</t>
        </is>
      </c>
      <c r="B22" s="7" t="inlineStr">
        <is>
          <t>SP 110</t>
        </is>
      </c>
      <c r="C22" s="7" t="n">
        <v>100</v>
      </c>
      <c r="D22" s="7" t="n">
        <v>36</v>
      </c>
      <c r="E22" s="7" t="n">
        <v>1</v>
      </c>
      <c r="F22" s="7" t="n">
        <v>60</v>
      </c>
      <c r="G22" s="7" t="n">
        <v>115</v>
      </c>
      <c r="H22" s="10">
        <f>F22*G22</f>
        <v/>
      </c>
    </row>
    <row r="23">
      <c r="A23" s="7" t="inlineStr">
        <is>
          <t>P1 — order now</t>
        </is>
      </c>
      <c r="B23" s="7" t="inlineStr">
        <is>
          <t>SP 90</t>
        </is>
      </c>
      <c r="C23" s="7" t="n">
        <v>80</v>
      </c>
      <c r="D23" s="7" t="n">
        <v>59</v>
      </c>
      <c r="E23" s="7" t="n">
        <v>1.1</v>
      </c>
      <c r="F23" s="7" t="n">
        <v>95</v>
      </c>
      <c r="G23" s="7" t="n">
        <v>71</v>
      </c>
      <c r="H23" s="10">
        <f>F23*G23</f>
        <v/>
      </c>
    </row>
    <row r="24">
      <c r="A24" s="7" t="inlineStr">
        <is>
          <t>P1 — order now</t>
        </is>
      </c>
      <c r="B24" s="7" t="inlineStr">
        <is>
          <t>SP 75</t>
        </is>
      </c>
      <c r="C24" s="7" t="n">
        <v>40</v>
      </c>
      <c r="D24" s="7" t="n">
        <v>285</v>
      </c>
      <c r="E24" s="7" t="n">
        <v>1.1</v>
      </c>
      <c r="F24" s="7" t="n">
        <v>445</v>
      </c>
      <c r="G24" s="7" t="n">
        <v>52</v>
      </c>
      <c r="H24" s="10">
        <f>F24*G24</f>
        <v/>
      </c>
    </row>
    <row r="25">
      <c r="A25" s="7" t="inlineStr">
        <is>
          <t>P1 — order now</t>
        </is>
      </c>
      <c r="B25" s="7" t="inlineStr">
        <is>
          <t>SP 75</t>
        </is>
      </c>
      <c r="C25" s="7" t="n">
        <v>100</v>
      </c>
      <c r="D25" s="7" t="n">
        <v>157</v>
      </c>
      <c r="E25" s="7" t="n">
        <v>1.2</v>
      </c>
      <c r="F25" s="7" t="n">
        <v>245</v>
      </c>
      <c r="G25" s="7" t="n">
        <v>52</v>
      </c>
      <c r="H25" s="10">
        <f>F25*G25</f>
        <v/>
      </c>
    </row>
    <row r="26">
      <c r="A26" s="7" t="inlineStr">
        <is>
          <t>P1 — order now</t>
        </is>
      </c>
      <c r="B26" s="7" t="inlineStr">
        <is>
          <t>SP 110</t>
        </is>
      </c>
      <c r="C26" s="7" t="n">
        <v>30</v>
      </c>
      <c r="D26" s="7" t="n">
        <v>40</v>
      </c>
      <c r="E26" s="7" t="n">
        <v>1.2</v>
      </c>
      <c r="F26" s="7" t="n">
        <v>65</v>
      </c>
      <c r="G26" s="7" t="n">
        <v>115</v>
      </c>
      <c r="H26" s="10">
        <f>F26*G26</f>
        <v/>
      </c>
    </row>
    <row r="27">
      <c r="A27" s="7" t="inlineStr">
        <is>
          <t>P1 — order now</t>
        </is>
      </c>
      <c r="B27" s="7" t="inlineStr">
        <is>
          <t>SP 30</t>
        </is>
      </c>
      <c r="C27" s="7" t="n">
        <v>15</v>
      </c>
      <c r="D27" s="7" t="n">
        <v>93</v>
      </c>
      <c r="E27" s="7" t="n">
        <v>1.5</v>
      </c>
      <c r="F27" s="7" t="n">
        <v>140</v>
      </c>
      <c r="G27" s="7" t="n">
        <v>14.9</v>
      </c>
      <c r="H27" s="10">
        <f>F27*G27</f>
        <v/>
      </c>
    </row>
    <row r="28">
      <c r="A28" s="7" t="inlineStr">
        <is>
          <t>P1 — order now</t>
        </is>
      </c>
      <c r="B28" s="7" t="inlineStr">
        <is>
          <t>SP 63</t>
        </is>
      </c>
      <c r="C28" s="7" t="n">
        <v>10</v>
      </c>
      <c r="D28" s="7" t="n">
        <v>180</v>
      </c>
      <c r="E28" s="7" t="n">
        <v>1.5</v>
      </c>
      <c r="F28" s="7" t="n">
        <v>270</v>
      </c>
      <c r="G28" s="7" t="n">
        <v>35.5</v>
      </c>
      <c r="H28" s="10">
        <f>F28*G28</f>
        <v/>
      </c>
    </row>
    <row r="29">
      <c r="A29" s="7" t="inlineStr">
        <is>
          <t>P1 — order now</t>
        </is>
      </c>
      <c r="B29" s="7" t="inlineStr">
        <is>
          <t>SP 90</t>
        </is>
      </c>
      <c r="C29" s="7" t="n">
        <v>60</v>
      </c>
      <c r="D29" s="7" t="n">
        <v>46</v>
      </c>
      <c r="E29" s="7" t="n">
        <v>1.5</v>
      </c>
      <c r="F29" s="7" t="n">
        <v>70</v>
      </c>
      <c r="G29" s="7" t="n">
        <v>71</v>
      </c>
      <c r="H29" s="10">
        <f>F29*G29</f>
        <v/>
      </c>
    </row>
    <row r="30">
      <c r="A30" s="7" t="inlineStr">
        <is>
          <t>P1 — order now</t>
        </is>
      </c>
      <c r="B30" s="7" t="inlineStr">
        <is>
          <t>SP 75</t>
        </is>
      </c>
      <c r="C30" s="7" t="n">
        <v>7.5</v>
      </c>
      <c r="D30" s="7" t="n">
        <v>24</v>
      </c>
      <c r="E30" s="7" t="n">
        <v>1.8</v>
      </c>
      <c r="F30" s="7" t="n">
        <v>40</v>
      </c>
      <c r="G30" s="7" t="n">
        <v>52</v>
      </c>
      <c r="H30" s="10">
        <f>F30*G30</f>
        <v/>
      </c>
    </row>
    <row r="31">
      <c r="A31" s="7" t="inlineStr">
        <is>
          <t>P1 — order now</t>
        </is>
      </c>
      <c r="B31" s="7" t="inlineStr">
        <is>
          <t>SP 63</t>
        </is>
      </c>
      <c r="C31" s="7" t="n">
        <v>40</v>
      </c>
      <c r="D31" s="7" t="n">
        <v>218</v>
      </c>
      <c r="E31" s="7" t="n">
        <v>1.8</v>
      </c>
      <c r="F31" s="7" t="n">
        <v>320</v>
      </c>
      <c r="G31" s="7" t="n">
        <v>35.5</v>
      </c>
      <c r="H31" s="10">
        <f>F31*G31</f>
        <v/>
      </c>
    </row>
    <row r="32">
      <c r="A32" s="7" t="inlineStr">
        <is>
          <t>P1 — order now</t>
        </is>
      </c>
      <c r="B32" s="7" t="inlineStr">
        <is>
          <t>SP 130</t>
        </is>
      </c>
      <c r="C32" s="7" t="n">
        <v>30</v>
      </c>
      <c r="D32" s="7" t="n">
        <v>11</v>
      </c>
      <c r="E32" s="7" t="n">
        <v>1.9</v>
      </c>
      <c r="F32" s="7" t="n">
        <v>20</v>
      </c>
      <c r="G32" s="7" t="n">
        <v>151</v>
      </c>
      <c r="H32" s="10">
        <f>F32*G32</f>
        <v/>
      </c>
    </row>
    <row r="33">
      <c r="A33" s="7" t="inlineStr">
        <is>
          <t>P1 — order now</t>
        </is>
      </c>
      <c r="B33" s="7" t="inlineStr">
        <is>
          <t>SP 75</t>
        </is>
      </c>
      <c r="C33" s="7" t="n">
        <v>50</v>
      </c>
      <c r="D33" s="7" t="n">
        <v>151</v>
      </c>
      <c r="E33" s="7" t="n">
        <v>2</v>
      </c>
      <c r="F33" s="7" t="n">
        <v>220</v>
      </c>
      <c r="G33" s="7" t="n">
        <v>52</v>
      </c>
      <c r="H33" s="10">
        <f>F33*G33</f>
        <v/>
      </c>
    </row>
    <row r="34">
      <c r="A34" s="7" t="inlineStr">
        <is>
          <t>P1 — order now</t>
        </is>
      </c>
      <c r="B34" s="7" t="inlineStr">
        <is>
          <t>SP 75</t>
        </is>
      </c>
      <c r="C34" s="7" t="n">
        <v>10</v>
      </c>
      <c r="D34" s="7" t="n">
        <v>26</v>
      </c>
      <c r="E34" s="7" t="n">
        <v>2.2</v>
      </c>
      <c r="F34" s="7" t="n">
        <v>40</v>
      </c>
      <c r="G34" s="7" t="n">
        <v>52</v>
      </c>
      <c r="H34" s="10">
        <f>F34*G34</f>
        <v/>
      </c>
    </row>
    <row r="35">
      <c r="A35" s="7" t="inlineStr">
        <is>
          <t>P1 — order now</t>
        </is>
      </c>
      <c r="B35" s="7" t="inlineStr">
        <is>
          <t>SP 50</t>
        </is>
      </c>
      <c r="C35" s="7" t="n">
        <v>30</v>
      </c>
      <c r="D35" s="7" t="n">
        <v>316</v>
      </c>
      <c r="E35" s="7" t="n">
        <v>2.2</v>
      </c>
      <c r="F35" s="7" t="n">
        <v>445</v>
      </c>
      <c r="G35" s="7" t="n">
        <v>26</v>
      </c>
      <c r="H35" s="10">
        <f>F35*G35</f>
        <v/>
      </c>
    </row>
    <row r="36">
      <c r="A36" s="7" t="inlineStr">
        <is>
          <t>P1 — order now</t>
        </is>
      </c>
      <c r="B36" s="7" t="inlineStr">
        <is>
          <t>SP 50</t>
        </is>
      </c>
      <c r="C36" s="7" t="n">
        <v>80</v>
      </c>
      <c r="D36" s="7" t="n">
        <v>111</v>
      </c>
      <c r="E36" s="7" t="n">
        <v>2.5</v>
      </c>
      <c r="F36" s="7" t="n">
        <v>155</v>
      </c>
      <c r="G36" s="7" t="n">
        <v>26</v>
      </c>
      <c r="H36" s="10">
        <f>F36*G36</f>
        <v/>
      </c>
    </row>
    <row r="37">
      <c r="A37" s="7" t="inlineStr">
        <is>
          <t>P1 — order now</t>
        </is>
      </c>
      <c r="B37" s="7" t="inlineStr">
        <is>
          <t>SP 40</t>
        </is>
      </c>
      <c r="C37" s="7" t="n">
        <v>25</v>
      </c>
      <c r="D37" s="7" t="n">
        <v>311</v>
      </c>
      <c r="E37" s="7" t="n">
        <v>2.7</v>
      </c>
      <c r="F37" s="7" t="n">
        <v>415</v>
      </c>
      <c r="G37" s="7" t="n">
        <v>17.3</v>
      </c>
      <c r="H37" s="10">
        <f>F37*G37</f>
        <v/>
      </c>
    </row>
    <row r="38">
      <c r="A38" s="7" t="inlineStr">
        <is>
          <t>P1 — order now</t>
        </is>
      </c>
      <c r="B38" s="7" t="inlineStr">
        <is>
          <t>SP 30</t>
        </is>
      </c>
      <c r="C38" s="7" t="n">
        <v>60</v>
      </c>
      <c r="D38" s="7" t="n">
        <v>37</v>
      </c>
      <c r="E38" s="7" t="n">
        <v>2.8</v>
      </c>
      <c r="F38" s="7" t="n">
        <v>50</v>
      </c>
      <c r="G38" s="7" t="n">
        <v>14.9</v>
      </c>
      <c r="H38" s="10">
        <f>F38*G38</f>
        <v/>
      </c>
    </row>
    <row r="39">
      <c r="A39" s="7" t="inlineStr">
        <is>
          <t>P1 — order now</t>
        </is>
      </c>
      <c r="B39" s="7" t="inlineStr">
        <is>
          <t>SP 40</t>
        </is>
      </c>
      <c r="C39" s="7" t="n">
        <v>10</v>
      </c>
      <c r="D39" s="7" t="n">
        <v>111</v>
      </c>
      <c r="E39" s="7" t="n">
        <v>3.1</v>
      </c>
      <c r="F39" s="7" t="n">
        <v>145</v>
      </c>
      <c r="G39" s="7" t="n">
        <v>17.3</v>
      </c>
      <c r="H39" s="10">
        <f>F39*G39</f>
        <v/>
      </c>
    </row>
    <row r="40">
      <c r="A40" s="7" t="inlineStr">
        <is>
          <t>P1 — order now</t>
        </is>
      </c>
      <c r="B40" s="7" t="inlineStr">
        <is>
          <t>SP 75</t>
        </is>
      </c>
      <c r="C40" s="7" t="n">
        <v>60</v>
      </c>
      <c r="D40" s="7" t="n">
        <v>77</v>
      </c>
      <c r="E40" s="7" t="n">
        <v>3.2</v>
      </c>
      <c r="F40" s="7" t="n">
        <v>100</v>
      </c>
      <c r="G40" s="7" t="n">
        <v>52</v>
      </c>
      <c r="H40" s="10">
        <f>F40*G40</f>
        <v/>
      </c>
    </row>
    <row r="41">
      <c r="A41" s="7" t="inlineStr">
        <is>
          <t>P1 — order now</t>
        </is>
      </c>
      <c r="B41" s="7" t="inlineStr">
        <is>
          <t>SP 110</t>
        </is>
      </c>
      <c r="C41" s="7" t="n">
        <v>25</v>
      </c>
      <c r="D41" s="7" t="n">
        <v>13</v>
      </c>
      <c r="E41" s="7" t="n">
        <v>3.2</v>
      </c>
      <c r="F41" s="7" t="n">
        <v>20</v>
      </c>
      <c r="G41" s="7" t="n">
        <v>115</v>
      </c>
      <c r="H41" s="10">
        <f>F41*G41</f>
        <v/>
      </c>
    </row>
    <row r="42">
      <c r="A42" s="7" t="inlineStr">
        <is>
          <t>P1 — order now</t>
        </is>
      </c>
      <c r="B42" s="7" t="inlineStr">
        <is>
          <t>SP 90</t>
        </is>
      </c>
      <c r="C42" s="7" t="n">
        <v>7.5</v>
      </c>
      <c r="D42" s="7" t="n">
        <v>10</v>
      </c>
      <c r="E42" s="7" t="n">
        <v>3.5</v>
      </c>
      <c r="F42" s="7" t="n">
        <v>15</v>
      </c>
      <c r="G42" s="7" t="n">
        <v>71</v>
      </c>
      <c r="H42" s="10">
        <f>F42*G42</f>
        <v/>
      </c>
    </row>
    <row r="43">
      <c r="A43" s="7" t="inlineStr">
        <is>
          <t>P1 — order now</t>
        </is>
      </c>
      <c r="B43" s="7" t="inlineStr">
        <is>
          <t>SP 75</t>
        </is>
      </c>
      <c r="C43" s="7" t="n">
        <v>25</v>
      </c>
      <c r="D43" s="7" t="n">
        <v>68</v>
      </c>
      <c r="E43" s="7" t="n">
        <v>3.6</v>
      </c>
      <c r="F43" s="7" t="n">
        <v>85</v>
      </c>
      <c r="G43" s="7" t="n">
        <v>52</v>
      </c>
      <c r="H43" s="10">
        <f>F43*G43</f>
        <v/>
      </c>
    </row>
    <row r="44">
      <c r="A44" s="7" t="inlineStr">
        <is>
          <t>P1 — order now</t>
        </is>
      </c>
      <c r="B44" s="7" t="inlineStr">
        <is>
          <t>SP 30</t>
        </is>
      </c>
      <c r="C44" s="7" t="n">
        <v>40</v>
      </c>
      <c r="D44" s="7" t="n">
        <v>11</v>
      </c>
      <c r="E44" s="7" t="n">
        <v>3.8</v>
      </c>
      <c r="F44" s="7" t="n">
        <v>15</v>
      </c>
      <c r="G44" s="7" t="n">
        <v>14.9</v>
      </c>
      <c r="H44" s="10">
        <f>F44*G44</f>
        <v/>
      </c>
    </row>
    <row r="45">
      <c r="A45" s="7" t="inlineStr">
        <is>
          <t>P1 — order now</t>
        </is>
      </c>
      <c r="B45" s="7" t="inlineStr">
        <is>
          <t>SP 30</t>
        </is>
      </c>
      <c r="C45" s="7" t="n">
        <v>20</v>
      </c>
      <c r="D45" s="7" t="n">
        <v>208</v>
      </c>
      <c r="E45" s="7" t="n">
        <v>3.9</v>
      </c>
      <c r="F45" s="7" t="n">
        <v>245</v>
      </c>
      <c r="G45" s="7" t="n">
        <v>14.9</v>
      </c>
      <c r="H45" s="10">
        <f>F45*G45</f>
        <v/>
      </c>
    </row>
    <row r="46">
      <c r="A46" s="7" t="inlineStr">
        <is>
          <t>P1 — order now</t>
        </is>
      </c>
      <c r="B46" s="7" t="inlineStr">
        <is>
          <t>SP 40</t>
        </is>
      </c>
      <c r="C46" s="7" t="n">
        <v>80</v>
      </c>
      <c r="D46" s="7" t="n">
        <v>52</v>
      </c>
      <c r="E46" s="7" t="n">
        <v>4</v>
      </c>
      <c r="F46" s="7" t="n">
        <v>60</v>
      </c>
      <c r="G46" s="7" t="n">
        <v>17.3</v>
      </c>
      <c r="H46" s="10">
        <f>F46*G46</f>
        <v/>
      </c>
    </row>
    <row r="47">
      <c r="A47" s="7" t="inlineStr">
        <is>
          <t>P1 — order now</t>
        </is>
      </c>
      <c r="B47" s="7" t="inlineStr">
        <is>
          <t>SP 90</t>
        </is>
      </c>
      <c r="C47" s="7" t="n">
        <v>15</v>
      </c>
      <c r="D47" s="7" t="n">
        <v>43</v>
      </c>
      <c r="E47" s="7" t="n">
        <v>4.2</v>
      </c>
      <c r="F47" s="7" t="n">
        <v>50</v>
      </c>
      <c r="G47" s="7" t="n">
        <v>71</v>
      </c>
      <c r="H47" s="10">
        <f>F47*G47</f>
        <v/>
      </c>
    </row>
    <row r="48">
      <c r="A48" s="7" t="inlineStr">
        <is>
          <t>P1 — order now</t>
        </is>
      </c>
      <c r="B48" s="7" t="inlineStr">
        <is>
          <t>SP 50</t>
        </is>
      </c>
      <c r="C48" s="7" t="n">
        <v>5</v>
      </c>
      <c r="D48" s="7" t="n">
        <v>93</v>
      </c>
      <c r="E48" s="7" t="n">
        <v>4.3</v>
      </c>
      <c r="F48" s="7" t="n">
        <v>105</v>
      </c>
      <c r="G48" s="7" t="n">
        <v>26</v>
      </c>
      <c r="H48" s="10">
        <f>F48*G48</f>
        <v/>
      </c>
    </row>
    <row r="49">
      <c r="A49" s="7" t="inlineStr">
        <is>
          <t>P1 — order now</t>
        </is>
      </c>
      <c r="B49" s="7" t="inlineStr">
        <is>
          <t>SP 75</t>
        </is>
      </c>
      <c r="C49" s="7" t="n">
        <v>30</v>
      </c>
      <c r="D49" s="7" t="n">
        <v>162</v>
      </c>
      <c r="E49" s="7" t="n">
        <v>4.6</v>
      </c>
      <c r="F49" s="7" t="n">
        <v>175</v>
      </c>
      <c r="G49" s="7" t="n">
        <v>52</v>
      </c>
      <c r="H49" s="10">
        <f>F49*G49</f>
        <v/>
      </c>
    </row>
    <row r="50">
      <c r="A50" s="7" t="inlineStr">
        <is>
          <t>P1 — order now</t>
        </is>
      </c>
      <c r="B50" s="7" t="inlineStr">
        <is>
          <t>SP 50</t>
        </is>
      </c>
      <c r="C50" s="7" t="n">
        <v>20</v>
      </c>
      <c r="D50" s="7" t="n">
        <v>241</v>
      </c>
      <c r="E50" s="7" t="n">
        <v>4.6</v>
      </c>
      <c r="F50" s="7" t="n">
        <v>255</v>
      </c>
      <c r="G50" s="7" t="n">
        <v>26</v>
      </c>
      <c r="H50" s="10">
        <f>F50*G50</f>
        <v/>
      </c>
    </row>
    <row r="51">
      <c r="A51" s="7" t="inlineStr">
        <is>
          <t>P1 — order now</t>
        </is>
      </c>
      <c r="B51" s="7" t="inlineStr">
        <is>
          <t>SP 40</t>
        </is>
      </c>
      <c r="C51" s="7" t="n">
        <v>7.5</v>
      </c>
      <c r="D51" s="7" t="n">
        <v>120</v>
      </c>
      <c r="E51" s="7" t="n">
        <v>5</v>
      </c>
      <c r="F51" s="7" t="n">
        <v>125</v>
      </c>
      <c r="G51" s="7" t="n">
        <v>17.3</v>
      </c>
      <c r="H51" s="10">
        <f>F51*G51</f>
        <v/>
      </c>
    </row>
    <row r="52">
      <c r="A52" s="7" t="inlineStr">
        <is>
          <t>P2 — Q3 PO</t>
        </is>
      </c>
      <c r="B52" s="7" t="inlineStr">
        <is>
          <t>SP 75</t>
        </is>
      </c>
      <c r="C52" s="7" t="n">
        <v>15</v>
      </c>
      <c r="D52" s="7" t="n">
        <v>57</v>
      </c>
      <c r="E52" s="7" t="n">
        <v>5</v>
      </c>
      <c r="F52" s="7" t="n">
        <v>60</v>
      </c>
      <c r="G52" s="7" t="n">
        <v>52</v>
      </c>
      <c r="H52" s="10">
        <f>F52*G52</f>
        <v/>
      </c>
    </row>
    <row r="53">
      <c r="A53" s="7" t="inlineStr">
        <is>
          <t>P2 — Q3 PO</t>
        </is>
      </c>
      <c r="B53" s="7" t="inlineStr">
        <is>
          <t>SP 63</t>
        </is>
      </c>
      <c r="C53" s="7" t="n">
        <v>30</v>
      </c>
      <c r="D53" s="7" t="n">
        <v>444</v>
      </c>
      <c r="E53" s="7" t="n">
        <v>5.1</v>
      </c>
      <c r="F53" s="7" t="n">
        <v>445</v>
      </c>
      <c r="G53" s="7" t="n">
        <v>35.5</v>
      </c>
      <c r="H53" s="10">
        <f>F53*G53</f>
        <v/>
      </c>
    </row>
    <row r="54">
      <c r="A54" s="7" t="inlineStr">
        <is>
          <t>P2 — Q3 PO</t>
        </is>
      </c>
      <c r="B54" s="7" t="inlineStr">
        <is>
          <t>SP 40</t>
        </is>
      </c>
      <c r="C54" s="7" t="n">
        <v>30</v>
      </c>
      <c r="D54" s="7" t="n">
        <v>101</v>
      </c>
      <c r="E54" s="7" t="n">
        <v>5.3</v>
      </c>
      <c r="F54" s="7" t="n">
        <v>100</v>
      </c>
      <c r="G54" s="7" t="n">
        <v>17.3</v>
      </c>
      <c r="H54" s="10">
        <f>F54*G54</f>
        <v/>
      </c>
    </row>
    <row r="55">
      <c r="A55" s="7" t="inlineStr">
        <is>
          <t>P2 — Q3 PO</t>
        </is>
      </c>
      <c r="B55" s="7" t="inlineStr">
        <is>
          <t>SP 90</t>
        </is>
      </c>
      <c r="C55" s="7" t="n">
        <v>25</v>
      </c>
      <c r="D55" s="7" t="n">
        <v>67</v>
      </c>
      <c r="E55" s="7" t="n">
        <v>5.6</v>
      </c>
      <c r="F55" s="7" t="n">
        <v>65</v>
      </c>
      <c r="G55" s="7" t="n">
        <v>71</v>
      </c>
      <c r="H55" s="10">
        <f>F55*G55</f>
        <v/>
      </c>
    </row>
    <row r="56">
      <c r="A56" s="7" t="inlineStr">
        <is>
          <t>P2 — Q3 PO</t>
        </is>
      </c>
      <c r="B56" s="7" t="inlineStr">
        <is>
          <t>SP 40</t>
        </is>
      </c>
      <c r="C56" s="7" t="n">
        <v>5</v>
      </c>
      <c r="D56" s="7" t="n">
        <v>52</v>
      </c>
      <c r="E56" s="7" t="n">
        <v>5.7</v>
      </c>
      <c r="F56" s="7" t="n">
        <v>50</v>
      </c>
      <c r="G56" s="7" t="n">
        <v>17.3</v>
      </c>
      <c r="H56" s="10">
        <f>F56*G56</f>
        <v/>
      </c>
    </row>
    <row r="57">
      <c r="A57" s="7" t="inlineStr">
        <is>
          <t>P2 — Q3 PO</t>
        </is>
      </c>
      <c r="B57" s="7" t="inlineStr">
        <is>
          <t>SP 50</t>
        </is>
      </c>
      <c r="C57" s="7" t="n">
        <v>25</v>
      </c>
      <c r="D57" s="7" t="n">
        <v>245</v>
      </c>
      <c r="E57" s="7" t="n">
        <v>5.9</v>
      </c>
      <c r="F57" s="7" t="n">
        <v>215</v>
      </c>
      <c r="G57" s="7" t="n">
        <v>26</v>
      </c>
      <c r="H57" s="10">
        <f>F57*G57</f>
        <v/>
      </c>
    </row>
    <row r="58">
      <c r="A58" s="7" t="inlineStr">
        <is>
          <t>P2 — Q3 PO</t>
        </is>
      </c>
      <c r="B58" s="7" t="inlineStr">
        <is>
          <t>SP 75</t>
        </is>
      </c>
      <c r="C58" s="7" t="n">
        <v>80</v>
      </c>
      <c r="D58" s="7" t="n">
        <v>166</v>
      </c>
      <c r="E58" s="7" t="n">
        <v>5.9</v>
      </c>
      <c r="F58" s="7" t="n">
        <v>145</v>
      </c>
      <c r="G58" s="7" t="n">
        <v>52</v>
      </c>
      <c r="H58" s="10">
        <f>F58*G58</f>
        <v/>
      </c>
    </row>
    <row r="59">
      <c r="A59" s="7" t="inlineStr">
        <is>
          <t>P2 — Q3 PO</t>
        </is>
      </c>
      <c r="B59" s="7" t="inlineStr">
        <is>
          <t>SP 110</t>
        </is>
      </c>
      <c r="C59" s="7" t="n">
        <v>60</v>
      </c>
      <c r="D59" s="7" t="n">
        <v>24</v>
      </c>
      <c r="E59" s="7" t="n">
        <v>6.1</v>
      </c>
      <c r="F59" s="7" t="n">
        <v>25</v>
      </c>
      <c r="G59" s="7" t="n">
        <v>115</v>
      </c>
      <c r="H59" s="10">
        <f>F59*G59</f>
        <v/>
      </c>
    </row>
    <row r="60">
      <c r="A60" s="7" t="inlineStr">
        <is>
          <t>P2 — Q3 PO</t>
        </is>
      </c>
      <c r="B60" s="7" t="inlineStr">
        <is>
          <t>SP 130</t>
        </is>
      </c>
      <c r="C60" s="7" t="n">
        <v>50</v>
      </c>
      <c r="D60" s="7" t="n">
        <v>17</v>
      </c>
      <c r="E60" s="7" t="n">
        <v>6.2</v>
      </c>
      <c r="F60" s="7" t="n">
        <v>15</v>
      </c>
      <c r="G60" s="7" t="n">
        <v>151</v>
      </c>
      <c r="H60" s="10">
        <f>F60*G60</f>
        <v/>
      </c>
    </row>
    <row r="61">
      <c r="A61" s="7" t="inlineStr">
        <is>
          <t>P2 — Q3 PO</t>
        </is>
      </c>
      <c r="B61" s="7" t="inlineStr">
        <is>
          <t>SP 110</t>
        </is>
      </c>
      <c r="C61" s="7" t="n">
        <v>40</v>
      </c>
      <c r="D61" s="7" t="n">
        <v>264</v>
      </c>
      <c r="E61" s="7" t="n">
        <v>6.3</v>
      </c>
      <c r="F61" s="7" t="n">
        <v>220</v>
      </c>
      <c r="G61" s="7" t="n">
        <v>115</v>
      </c>
      <c r="H61" s="10">
        <f>F61*G61</f>
        <v/>
      </c>
    </row>
    <row r="62">
      <c r="A62" s="7" t="inlineStr">
        <is>
          <t>P2 — Q3 PO</t>
        </is>
      </c>
      <c r="B62" s="7" t="inlineStr">
        <is>
          <t>SP 30</t>
        </is>
      </c>
      <c r="C62" s="7" t="n">
        <v>80</v>
      </c>
      <c r="D62" s="7" t="n">
        <v>128</v>
      </c>
      <c r="E62" s="7" t="n">
        <v>6.3</v>
      </c>
      <c r="F62" s="7" t="n">
        <v>105</v>
      </c>
      <c r="G62" s="7" t="n">
        <v>14.9</v>
      </c>
      <c r="H62" s="10">
        <f>F62*G62</f>
        <v/>
      </c>
    </row>
    <row r="63">
      <c r="A63" s="7" t="inlineStr">
        <is>
          <t>P2 — Q3 PO</t>
        </is>
      </c>
      <c r="B63" s="7" t="inlineStr">
        <is>
          <t>SP 90</t>
        </is>
      </c>
      <c r="C63" s="7" t="n">
        <v>30</v>
      </c>
      <c r="D63" s="7" t="n">
        <v>197</v>
      </c>
      <c r="E63" s="7" t="n">
        <v>6.7</v>
      </c>
      <c r="F63" s="7" t="n">
        <v>150</v>
      </c>
      <c r="G63" s="7" t="n">
        <v>71</v>
      </c>
      <c r="H63" s="10">
        <f>F63*G63</f>
        <v/>
      </c>
    </row>
    <row r="64">
      <c r="A64" s="7" t="inlineStr">
        <is>
          <t>P2 — Q3 PO</t>
        </is>
      </c>
      <c r="B64" s="7" t="inlineStr">
        <is>
          <t>SP 130</t>
        </is>
      </c>
      <c r="C64" s="7" t="n">
        <v>40</v>
      </c>
      <c r="D64" s="7" t="n">
        <v>264</v>
      </c>
      <c r="E64" s="7" t="n">
        <v>6.8</v>
      </c>
      <c r="F64" s="7" t="n">
        <v>200</v>
      </c>
      <c r="G64" s="7" t="n">
        <v>151</v>
      </c>
      <c r="H64" s="10">
        <f>F64*G64</f>
        <v/>
      </c>
    </row>
    <row r="65">
      <c r="A65" s="7" t="inlineStr">
        <is>
          <t>P2 — Q3 PO</t>
        </is>
      </c>
      <c r="B65" s="7" t="inlineStr">
        <is>
          <t>SP 50</t>
        </is>
      </c>
      <c r="C65" s="7" t="n">
        <v>40</v>
      </c>
      <c r="D65" s="7" t="n">
        <v>273</v>
      </c>
      <c r="E65" s="7" t="n">
        <v>6.8</v>
      </c>
      <c r="F65" s="7" t="n">
        <v>205</v>
      </c>
      <c r="G65" s="7" t="n">
        <v>26</v>
      </c>
      <c r="H65" s="10">
        <f>F65*G65</f>
        <v/>
      </c>
    </row>
    <row r="66">
      <c r="A66" s="7" t="inlineStr">
        <is>
          <t>P2 — Q3 PO</t>
        </is>
      </c>
      <c r="B66" s="7" t="inlineStr">
        <is>
          <t>SP 40</t>
        </is>
      </c>
      <c r="C66" s="7" t="n">
        <v>20</v>
      </c>
      <c r="D66" s="7" t="n">
        <v>299</v>
      </c>
      <c r="E66" s="7" t="n">
        <v>7</v>
      </c>
      <c r="F66" s="7" t="n">
        <v>220</v>
      </c>
      <c r="G66" s="7" t="n">
        <v>17.3</v>
      </c>
      <c r="H66" s="10">
        <f>F66*G66</f>
        <v/>
      </c>
    </row>
    <row r="67">
      <c r="A67" s="7" t="inlineStr">
        <is>
          <t>P2 — Q3 PO</t>
        </is>
      </c>
      <c r="B67" s="7" t="inlineStr">
        <is>
          <t>SP 110</t>
        </is>
      </c>
      <c r="C67" s="7" t="n">
        <v>7.5</v>
      </c>
      <c r="D67" s="7" t="n">
        <v>10</v>
      </c>
      <c r="E67" s="7" t="n">
        <v>7</v>
      </c>
      <c r="F67" s="7" t="n">
        <v>10</v>
      </c>
      <c r="G67" s="7" t="n">
        <v>115</v>
      </c>
      <c r="H67" s="10">
        <f>F67*G67</f>
        <v/>
      </c>
    </row>
    <row r="68">
      <c r="A68" s="7" t="inlineStr">
        <is>
          <t>P2 — Q3 PO</t>
        </is>
      </c>
      <c r="B68" s="7" t="inlineStr">
        <is>
          <t>SP 90</t>
        </is>
      </c>
      <c r="C68" s="7" t="n">
        <v>50</v>
      </c>
      <c r="D68" s="7" t="n">
        <v>24</v>
      </c>
      <c r="E68" s="7" t="n">
        <v>7.6</v>
      </c>
      <c r="F68" s="7" t="n">
        <v>20</v>
      </c>
      <c r="G68" s="7" t="n">
        <v>71</v>
      </c>
      <c r="H68" s="10">
        <f>F68*G68</f>
        <v/>
      </c>
    </row>
    <row r="69">
      <c r="A69" s="7" t="inlineStr">
        <is>
          <t>P3 — top-up</t>
        </is>
      </c>
      <c r="B69" s="7" t="inlineStr">
        <is>
          <t>SP 63</t>
        </is>
      </c>
      <c r="C69" s="7" t="n">
        <v>25</v>
      </c>
      <c r="D69" s="7" t="n">
        <v>229</v>
      </c>
      <c r="E69" s="7" t="n">
        <v>8.1</v>
      </c>
      <c r="F69" s="7" t="n">
        <v>130</v>
      </c>
      <c r="G69" s="7" t="n">
        <v>35.5</v>
      </c>
      <c r="H69" s="10">
        <f>F69*G69</f>
        <v/>
      </c>
    </row>
    <row r="70">
      <c r="A70" s="7" t="inlineStr">
        <is>
          <t>P3 — top-up</t>
        </is>
      </c>
      <c r="B70" s="7" t="inlineStr">
        <is>
          <t>SP 63</t>
        </is>
      </c>
      <c r="C70" s="7" t="n">
        <v>7.5</v>
      </c>
      <c r="D70" s="7" t="n">
        <v>143</v>
      </c>
      <c r="E70" s="7" t="n">
        <v>8.1</v>
      </c>
      <c r="F70" s="7" t="n">
        <v>80</v>
      </c>
      <c r="G70" s="7" t="n">
        <v>35.5</v>
      </c>
      <c r="H70" s="10">
        <f>F70*G70</f>
        <v/>
      </c>
    </row>
    <row r="71">
      <c r="A71" s="7" t="inlineStr">
        <is>
          <t>P3 — top-up</t>
        </is>
      </c>
      <c r="B71" s="7" t="inlineStr">
        <is>
          <t>SP 30</t>
        </is>
      </c>
      <c r="C71" s="7" t="n">
        <v>7.5</v>
      </c>
      <c r="D71" s="7" t="n">
        <v>104</v>
      </c>
      <c r="E71" s="7" t="n">
        <v>8.4</v>
      </c>
      <c r="F71" s="7" t="n">
        <v>55</v>
      </c>
      <c r="G71" s="7" t="n">
        <v>14.9</v>
      </c>
      <c r="H71" s="10">
        <f>F71*G71</f>
        <v/>
      </c>
    </row>
    <row r="72">
      <c r="A72" s="7" t="inlineStr">
        <is>
          <t>P3 — top-up</t>
        </is>
      </c>
      <c r="B72" s="7" t="inlineStr">
        <is>
          <t>SP 63</t>
        </is>
      </c>
      <c r="C72" s="7" t="n">
        <v>15</v>
      </c>
      <c r="D72" s="7" t="n">
        <v>258</v>
      </c>
      <c r="E72" s="7" t="n">
        <v>8.6</v>
      </c>
      <c r="F72" s="7" t="n">
        <v>130</v>
      </c>
      <c r="G72" s="7" t="n">
        <v>35.5</v>
      </c>
      <c r="H72" s="10">
        <f>F72*G72</f>
        <v/>
      </c>
    </row>
    <row r="73">
      <c r="A73" s="7" t="inlineStr">
        <is>
          <t>P3 — top-up</t>
        </is>
      </c>
      <c r="B73" s="7" t="inlineStr">
        <is>
          <t>SP 30</t>
        </is>
      </c>
      <c r="C73" s="7" t="n">
        <v>10</v>
      </c>
      <c r="D73" s="7" t="n">
        <v>149</v>
      </c>
      <c r="E73" s="7" t="n">
        <v>8.6</v>
      </c>
      <c r="F73" s="7" t="n">
        <v>75</v>
      </c>
      <c r="G73" s="7" t="n">
        <v>14.9</v>
      </c>
      <c r="H73" s="10">
        <f>F73*G73</f>
        <v/>
      </c>
    </row>
    <row r="74">
      <c r="A74" s="7" t="inlineStr">
        <is>
          <t>P3 — top-up</t>
        </is>
      </c>
      <c r="B74" s="7" t="inlineStr">
        <is>
          <t>SP 50</t>
        </is>
      </c>
      <c r="C74" s="7" t="n">
        <v>7.5</v>
      </c>
      <c r="D74" s="7" t="n">
        <v>219</v>
      </c>
      <c r="E74" s="7" t="n">
        <v>8.800000000000001</v>
      </c>
      <c r="F74" s="7" t="n">
        <v>100</v>
      </c>
      <c r="G74" s="7" t="n">
        <v>26</v>
      </c>
      <c r="H74" s="10">
        <f>F74*G74</f>
        <v/>
      </c>
    </row>
    <row r="75">
      <c r="A75" s="7" t="inlineStr">
        <is>
          <t>P3 — top-up</t>
        </is>
      </c>
      <c r="B75" s="7" t="inlineStr">
        <is>
          <t>SP 63</t>
        </is>
      </c>
      <c r="C75" s="7" t="n">
        <v>20</v>
      </c>
      <c r="D75" s="7" t="n">
        <v>242</v>
      </c>
      <c r="E75" s="7" t="n">
        <v>8.9</v>
      </c>
      <c r="F75" s="7" t="n">
        <v>110</v>
      </c>
      <c r="G75" s="7" t="n">
        <v>35.5</v>
      </c>
      <c r="H75" s="10">
        <f>F75*G75</f>
        <v/>
      </c>
    </row>
    <row r="76">
      <c r="A76" s="7" t="inlineStr">
        <is>
          <t>P3 — top-up</t>
        </is>
      </c>
      <c r="B76" s="7" t="inlineStr">
        <is>
          <t>SP 40</t>
        </is>
      </c>
      <c r="C76" s="7" t="n">
        <v>50</v>
      </c>
      <c r="D76" s="7" t="n">
        <v>321</v>
      </c>
      <c r="E76" s="7" t="n">
        <v>9.6</v>
      </c>
      <c r="F76" s="7" t="n">
        <v>110</v>
      </c>
      <c r="G76" s="7" t="n">
        <v>17.3</v>
      </c>
      <c r="H76" s="10">
        <f>F76*G76</f>
        <v/>
      </c>
    </row>
    <row r="77">
      <c r="A77" s="16" t="inlineStr">
        <is>
          <t>TOTAL</t>
        </is>
      </c>
      <c r="F77" s="16">
        <f>SUM(F2:F76)</f>
        <v/>
      </c>
      <c r="H77" s="18">
        <f>SUM(H2:H76)</f>
        <v/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2026-07-31T06:47:25Z</dcterms:created>
  <dcterms:modified xsi:type="dcterms:W3CDTF">2026-07-31T06:47:25Z</dcterms:modified>
</cp:coreProperties>
</file>